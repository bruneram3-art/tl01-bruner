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000398\OneDrive - ArcelorMittal\Desktop\n8n\"/>
    </mc:Choice>
  </mc:AlternateContent>
  <xr:revisionPtr revIDLastSave="0" documentId="13_ncr:1_{D81AFD91-B690-4BAB-ACA4-78DA3501777C}" xr6:coauthVersionLast="47" xr6:coauthVersionMax="47" xr10:uidLastSave="{00000000-0000-0000-0000-000000000000}"/>
  <bookViews>
    <workbookView xWindow="780" yWindow="780" windowWidth="21600" windowHeight="11175" xr2:uid="{00000000-000D-0000-FFFF-FFFF00000000}"/>
  </bookViews>
  <sheets>
    <sheet name="TL1" sheetId="1" r:id="rId1"/>
    <sheet name="Planilha1" sheetId="4" state="hidden" r:id="rId2"/>
    <sheet name="TL2" sheetId="2" r:id="rId3"/>
    <sheet name="Planilha3" sheetId="6" r:id="rId4"/>
    <sheet name="Resumo Produção" sheetId="3" r:id="rId5"/>
    <sheet name="Planilha2" sheetId="5" r:id="rId6"/>
  </sheets>
  <externalReferences>
    <externalReference r:id="rId7"/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M4" i="1"/>
  <c r="L4" i="1"/>
  <c r="K4" i="1"/>
  <c r="J4" i="1"/>
  <c r="N4" i="1" s="1"/>
  <c r="I4" i="1"/>
  <c r="H4" i="1"/>
  <c r="G4" i="1"/>
  <c r="F4" i="1"/>
  <c r="E4" i="1"/>
  <c r="D4" i="1"/>
  <c r="C4" i="1"/>
  <c r="N7" i="2"/>
  <c r="P7" i="2"/>
  <c r="Q4" i="5"/>
  <c r="Q13" i="5" s="1"/>
  <c r="N11" i="3"/>
  <c r="M11" i="3"/>
  <c r="L11" i="3"/>
  <c r="K11" i="3"/>
  <c r="J11" i="3"/>
  <c r="I11" i="3"/>
  <c r="H11" i="3"/>
  <c r="G11" i="3"/>
  <c r="F11" i="3"/>
  <c r="E11" i="3"/>
  <c r="D11" i="3"/>
  <c r="C11" i="3"/>
  <c r="N1" i="1"/>
  <c r="N28" i="2"/>
  <c r="N27" i="2"/>
  <c r="N8" i="1" l="1"/>
  <c r="N6" i="1"/>
  <c r="N5" i="1"/>
  <c r="N7" i="1"/>
  <c r="Q9" i="5"/>
  <c r="Q7" i="5"/>
  <c r="Q11" i="5"/>
  <c r="Q14" i="5"/>
  <c r="N28" i="1"/>
  <c r="N29" i="1"/>
  <c r="N30" i="1"/>
  <c r="N27" i="1"/>
  <c r="N26" i="1"/>
  <c r="N21" i="1"/>
  <c r="C4" i="2" l="1"/>
  <c r="D4" i="2"/>
  <c r="E4" i="2"/>
  <c r="F4" i="2"/>
  <c r="G4" i="2"/>
  <c r="H4" i="2"/>
  <c r="I4" i="2"/>
  <c r="J4" i="2"/>
  <c r="K4" i="2"/>
  <c r="L4" i="2"/>
  <c r="M4" i="2"/>
  <c r="B4" i="2"/>
  <c r="L16" i="2" l="1"/>
  <c r="M16" i="2" s="1"/>
  <c r="J16" i="2"/>
  <c r="P8" i="2" l="1"/>
  <c r="P6" i="2"/>
  <c r="P5" i="2"/>
  <c r="P4" i="2"/>
  <c r="O11" i="3" l="1"/>
  <c r="H5" i="3" l="1"/>
  <c r="I5" i="3"/>
  <c r="J5" i="3"/>
  <c r="N18" i="2"/>
  <c r="N20" i="2" s="1"/>
  <c r="C16" i="2"/>
  <c r="D16" i="2" s="1"/>
  <c r="E16" i="2" s="1"/>
  <c r="F16" i="2" s="1"/>
  <c r="N17" i="1"/>
  <c r="L15" i="1"/>
  <c r="M15" i="1" s="1"/>
  <c r="C15" i="1"/>
  <c r="D15" i="1" s="1"/>
  <c r="E15" i="1" s="1"/>
  <c r="F15" i="1" s="1"/>
  <c r="G15" i="1" s="1"/>
  <c r="H15" i="1" s="1"/>
  <c r="I15" i="1" s="1"/>
  <c r="J15" i="1" s="1"/>
  <c r="N22" i="2" l="1"/>
  <c r="N19" i="2"/>
  <c r="N21" i="2"/>
  <c r="N4" i="2"/>
  <c r="C5" i="3"/>
  <c r="G4" i="3"/>
  <c r="G5" i="3"/>
  <c r="F4" i="3"/>
  <c r="F5" i="3"/>
  <c r="N4" i="3"/>
  <c r="N5" i="3"/>
  <c r="M4" i="3"/>
  <c r="M5" i="3"/>
  <c r="E4" i="3"/>
  <c r="E5" i="3"/>
  <c r="L4" i="3"/>
  <c r="L5" i="3"/>
  <c r="D4" i="3"/>
  <c r="D5" i="3"/>
  <c r="K4" i="3"/>
  <c r="K5" i="3"/>
  <c r="J4" i="3"/>
  <c r="J6" i="3" s="1"/>
  <c r="J12" i="3" s="1"/>
  <c r="I4" i="3"/>
  <c r="I6" i="3" s="1"/>
  <c r="I12" i="3" s="1"/>
  <c r="H4" i="3"/>
  <c r="H6" i="3" s="1"/>
  <c r="H12" i="3" s="1"/>
  <c r="N18" i="1"/>
  <c r="N19" i="1"/>
  <c r="N20" i="1"/>
  <c r="N31" i="2" l="1"/>
  <c r="N29" i="2"/>
  <c r="N30" i="2"/>
  <c r="N8" i="2"/>
  <c r="R4" i="2"/>
  <c r="K6" i="3"/>
  <c r="K12" i="3" s="1"/>
  <c r="M6" i="3"/>
  <c r="M12" i="3" s="1"/>
  <c r="N5" i="2"/>
  <c r="N6" i="2"/>
  <c r="C4" i="3"/>
  <c r="C6" i="3" s="1"/>
  <c r="C12" i="3" s="1"/>
  <c r="O10" i="2"/>
  <c r="E6" i="3"/>
  <c r="E12" i="3" s="1"/>
  <c r="G6" i="3"/>
  <c r="G12" i="3" s="1"/>
  <c r="D6" i="3"/>
  <c r="D12" i="3" s="1"/>
  <c r="N6" i="3"/>
  <c r="N12" i="3" s="1"/>
  <c r="O11" i="2"/>
  <c r="F6" i="3"/>
  <c r="F12" i="3" s="1"/>
  <c r="O5" i="3"/>
  <c r="L6" i="3"/>
  <c r="L12" i="3" s="1"/>
  <c r="J11" i="2"/>
  <c r="K11" i="2"/>
  <c r="L10" i="2"/>
  <c r="M11" i="2"/>
  <c r="B11" i="2"/>
  <c r="P11" i="2"/>
  <c r="P10" i="2"/>
  <c r="G10" i="2"/>
  <c r="E10" i="2"/>
  <c r="D10" i="2"/>
  <c r="C10" i="2"/>
  <c r="H10" i="2"/>
  <c r="G11" i="2"/>
  <c r="F11" i="2"/>
  <c r="E11" i="2"/>
  <c r="D11" i="2"/>
  <c r="C11" i="2"/>
  <c r="O10" i="1"/>
  <c r="O11" i="1"/>
  <c r="O4" i="3" l="1"/>
  <c r="O6" i="3" s="1"/>
  <c r="O12" i="3" s="1"/>
  <c r="O12" i="2"/>
  <c r="O13" i="2" s="1"/>
  <c r="M10" i="2"/>
  <c r="M12" i="2" s="1"/>
  <c r="M13" i="2" s="1"/>
  <c r="L11" i="2"/>
  <c r="L12" i="2" s="1"/>
  <c r="L13" i="2" s="1"/>
  <c r="K10" i="2"/>
  <c r="K12" i="2" s="1"/>
  <c r="K13" i="2" s="1"/>
  <c r="G12" i="2"/>
  <c r="G13" i="2" s="1"/>
  <c r="O12" i="1"/>
  <c r="O13" i="1" s="1"/>
  <c r="P12" i="2"/>
  <c r="P13" i="2" s="1"/>
  <c r="I10" i="2"/>
  <c r="B10" i="2"/>
  <c r="B12" i="2" s="1"/>
  <c r="B13" i="2" s="1"/>
  <c r="C12" i="2"/>
  <c r="C13" i="2" s="1"/>
  <c r="D12" i="2"/>
  <c r="D13" i="2" s="1"/>
  <c r="E12" i="2"/>
  <c r="E13" i="2" s="1"/>
  <c r="J10" i="2"/>
  <c r="J12" i="2" s="1"/>
  <c r="J13" i="2" s="1"/>
  <c r="H11" i="2"/>
  <c r="H12" i="2" s="1"/>
  <c r="H13" i="2" s="1"/>
  <c r="I11" i="2"/>
  <c r="O1" i="2"/>
  <c r="F10" i="2"/>
  <c r="F12" i="2" s="1"/>
  <c r="F13" i="2" s="1"/>
  <c r="O1" i="1" l="1"/>
  <c r="Q1" i="1" s="1"/>
  <c r="R7" i="2"/>
  <c r="I12" i="2"/>
  <c r="I13" i="2" s="1"/>
  <c r="R6" i="2"/>
  <c r="R5" i="2"/>
  <c r="H11" i="1"/>
  <c r="H10" i="1"/>
  <c r="I11" i="1"/>
  <c r="I10" i="1"/>
  <c r="F10" i="1"/>
  <c r="F11" i="1"/>
  <c r="M10" i="1"/>
  <c r="M11" i="1"/>
  <c r="E10" i="1"/>
  <c r="E11" i="1"/>
  <c r="D11" i="1"/>
  <c r="D10" i="1"/>
  <c r="G11" i="1"/>
  <c r="G10" i="1"/>
  <c r="C11" i="1"/>
  <c r="C10" i="1"/>
  <c r="L10" i="1"/>
  <c r="L11" i="1"/>
  <c r="K10" i="1"/>
  <c r="K11" i="1"/>
  <c r="J11" i="1"/>
  <c r="J10" i="1"/>
  <c r="B11" i="1"/>
  <c r="B10" i="1"/>
  <c r="C12" i="1" l="1"/>
  <c r="C13" i="1" s="1"/>
  <c r="M12" i="1"/>
  <c r="M13" i="1" s="1"/>
  <c r="D12" i="1"/>
  <c r="D13" i="1" s="1"/>
  <c r="E12" i="1"/>
  <c r="E13" i="1" s="1"/>
  <c r="N10" i="2"/>
  <c r="R8" i="2"/>
  <c r="N11" i="2"/>
  <c r="J12" i="1"/>
  <c r="J13" i="1" s="1"/>
  <c r="F12" i="1"/>
  <c r="F13" i="1" s="1"/>
  <c r="B12" i="1"/>
  <c r="B13" i="1" s="1"/>
  <c r="I12" i="1"/>
  <c r="I13" i="1" s="1"/>
  <c r="H12" i="1"/>
  <c r="H13" i="1" s="1"/>
  <c r="G12" i="1"/>
  <c r="G13" i="1" s="1"/>
  <c r="K12" i="1"/>
  <c r="K13" i="1" s="1"/>
  <c r="L12" i="1"/>
  <c r="L13" i="1" s="1"/>
  <c r="N12" i="2" l="1"/>
  <c r="N13" i="2" s="1"/>
  <c r="N11" i="1"/>
  <c r="N10" i="1" l="1"/>
  <c r="N12" i="1" s="1"/>
  <c r="N13" i="1" s="1"/>
</calcChain>
</file>

<file path=xl/sharedStrings.xml><?xml version="1.0" encoding="utf-8"?>
<sst xmlns="http://schemas.openxmlformats.org/spreadsheetml/2006/main" count="287" uniqueCount="47">
  <si>
    <t>Produção (t)</t>
  </si>
  <si>
    <t>Rendimento (%)</t>
  </si>
  <si>
    <t>Energia Eletrica (kWh/t)</t>
  </si>
  <si>
    <t>Gás Natural (m³/t)</t>
  </si>
  <si>
    <t>RETL (kg/t)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</si>
  <si>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</si>
  <si>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</si>
  <si>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</si>
  <si>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</si>
  <si>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</si>
  <si>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</si>
  <si>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</si>
  <si>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</si>
  <si>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</si>
  <si>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</si>
  <si>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</si>
  <si>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</si>
  <si>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Perda ao fogo</t>
  </si>
  <si>
    <t>Real</t>
  </si>
  <si>
    <t>TL2</t>
  </si>
  <si>
    <t>TL1</t>
  </si>
  <si>
    <t>FY</t>
  </si>
  <si>
    <t>Obs</t>
  </si>
  <si>
    <t>Tolal</t>
  </si>
  <si>
    <t>TL1 + TL2</t>
  </si>
  <si>
    <t>Plano Produção</t>
  </si>
  <si>
    <t>MRF10</t>
  </si>
  <si>
    <t>BUD_V1 vs MRF10</t>
  </si>
  <si>
    <t>BUD_V1.2</t>
  </si>
  <si>
    <t xml:space="preserve"> MRF10'25</t>
  </si>
  <si>
    <t>MRF10'25</t>
  </si>
  <si>
    <t>TL1 V1.1</t>
  </si>
  <si>
    <t>TL1 V2 2026</t>
  </si>
  <si>
    <t>BUD_V2</t>
  </si>
  <si>
    <t>BUD_V2 vs MRF10</t>
  </si>
  <si>
    <t>TL2 V2 2026</t>
  </si>
  <si>
    <t>BUD'26_V2</t>
  </si>
  <si>
    <t>Valor para referência</t>
  </si>
  <si>
    <t>Mudança no Mix - Redução de 47% de material pesado do TL1 em função da partida do TL2.
Redução no volume anual de 237.900 para 216.320</t>
  </si>
  <si>
    <t>BL/BP</t>
  </si>
  <si>
    <t>Rendimento (%) VP</t>
  </si>
  <si>
    <t>Energia Eletrica (kWh/t) VP</t>
  </si>
  <si>
    <t>Gás Natural (m³/t) VP</t>
  </si>
  <si>
    <t>Working Ratio VP</t>
  </si>
  <si>
    <t xml:space="preserve">Working Ratio </t>
  </si>
  <si>
    <t>Índice de Qualidade %</t>
  </si>
  <si>
    <t>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</si>
</sst>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_-* #,##0.000_-;\-* #,##0.0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  <font>
      <b/>
      <sz val="10.5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ashDotDot">
        <color indexed="64"/>
      </left>
      <right style="dashDotDot">
        <color indexed="64"/>
      </right>
      <top style="thin">
        <color indexed="64"/>
      </top>
      <bottom style="thin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/>
      <diagonal/>
    </border>
    <border>
      <left style="dashDotDot">
        <color indexed="64"/>
      </left>
      <right style="dashDotDot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thin">
        <color indexed="64"/>
      </bottom>
      <diagonal/>
    </border>
    <border>
      <left style="mediumDashed">
        <color rgb="FFFF0000"/>
      </left>
      <right style="mediumDashed">
        <color rgb="FFFF0000"/>
      </right>
      <top style="thin">
        <color indexed="64"/>
      </top>
      <bottom style="thin">
        <color indexed="64"/>
      </bottom>
      <diagonal/>
    </border>
    <border>
      <left style="mediumDashed">
        <color rgb="FFFF0000"/>
      </left>
      <right style="mediumDashed">
        <color rgb="FFFF0000"/>
      </right>
      <top style="thin">
        <color indexed="64"/>
      </top>
      <bottom style="mediumDashed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2" xfId="0" applyFont="1" applyBorder="1"/>
    <xf numFmtId="164" fontId="3" fillId="3" borderId="13" xfId="1" applyNumberFormat="1" applyFont="1" applyFill="1" applyBorder="1" applyAlignment="1">
      <alignment horizontal="center" vertical="center"/>
    </xf>
    <xf numFmtId="164" fontId="3" fillId="2" borderId="13" xfId="1" applyNumberFormat="1" applyFont="1" applyFill="1" applyBorder="1" applyAlignment="1">
      <alignment horizontal="center" vertical="center"/>
    </xf>
    <xf numFmtId="164" fontId="3" fillId="2" borderId="11" xfId="1" applyNumberFormat="1" applyFont="1" applyFill="1" applyBorder="1"/>
    <xf numFmtId="0" fontId="3" fillId="0" borderId="3" xfId="0" applyFont="1" applyBorder="1"/>
    <xf numFmtId="43" fontId="3" fillId="3" borderId="1" xfId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43" fontId="3" fillId="2" borderId="9" xfId="1" applyFont="1" applyFill="1" applyBorder="1"/>
    <xf numFmtId="0" fontId="3" fillId="0" borderId="6" xfId="0" applyFont="1" applyBorder="1"/>
    <xf numFmtId="43" fontId="3" fillId="3" borderId="7" xfId="1" applyFont="1" applyFill="1" applyBorder="1" applyAlignment="1">
      <alignment horizontal="center" vertical="center"/>
    </xf>
    <xf numFmtId="43" fontId="3" fillId="0" borderId="7" xfId="1" applyFont="1" applyFill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center" vertical="center"/>
    </xf>
    <xf numFmtId="0" fontId="3" fillId="0" borderId="4" xfId="0" applyFont="1" applyBorder="1"/>
    <xf numFmtId="43" fontId="5" fillId="3" borderId="5" xfId="1" applyFont="1" applyFill="1" applyBorder="1" applyAlignment="1">
      <alignment horizontal="center" vertical="center"/>
    </xf>
    <xf numFmtId="43" fontId="5" fillId="0" borderId="5" xfId="1" applyFont="1" applyFill="1" applyBorder="1" applyAlignment="1">
      <alignment horizontal="center" vertical="center"/>
    </xf>
    <xf numFmtId="3" fontId="7" fillId="0" borderId="0" xfId="0" applyNumberFormat="1" applyFont="1"/>
    <xf numFmtId="43" fontId="8" fillId="0" borderId="1" xfId="1" applyFont="1" applyFill="1" applyBorder="1" applyAlignment="1">
      <alignment horizontal="center" vertical="center"/>
    </xf>
    <xf numFmtId="17" fontId="9" fillId="4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/>
    <xf numFmtId="164" fontId="8" fillId="2" borderId="1" xfId="1" applyNumberFormat="1" applyFont="1" applyFill="1" applyBorder="1" applyAlignment="1">
      <alignment horizontal="center" vertical="center"/>
    </xf>
    <xf numFmtId="43" fontId="11" fillId="0" borderId="1" xfId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0" fillId="0" borderId="1" xfId="0" applyBorder="1"/>
    <xf numFmtId="0" fontId="10" fillId="5" borderId="7" xfId="0" applyFont="1" applyFill="1" applyBorder="1" applyAlignment="1">
      <alignment horizontal="center" vertical="center"/>
    </xf>
    <xf numFmtId="0" fontId="6" fillId="0" borderId="1" xfId="0" applyFont="1" applyBorder="1"/>
    <xf numFmtId="164" fontId="0" fillId="0" borderId="1" xfId="1" applyNumberFormat="1" applyFont="1" applyBorder="1"/>
    <xf numFmtId="164" fontId="6" fillId="0" borderId="1" xfId="1" applyNumberFormat="1" applyFont="1" applyBorder="1"/>
    <xf numFmtId="0" fontId="6" fillId="0" borderId="0" xfId="0" applyFont="1"/>
    <xf numFmtId="43" fontId="0" fillId="0" borderId="1" xfId="3" applyFont="1" applyFill="1" applyBorder="1" applyAlignment="1">
      <alignment horizontal="center" vertical="center"/>
    </xf>
    <xf numFmtId="43" fontId="8" fillId="0" borderId="17" xfId="1" applyFont="1" applyBorder="1" applyAlignment="1">
      <alignment vertical="center"/>
    </xf>
    <xf numFmtId="43" fontId="14" fillId="0" borderId="1" xfId="3" applyFont="1" applyFill="1" applyBorder="1" applyAlignment="1">
      <alignment horizontal="center" vertical="center"/>
    </xf>
    <xf numFmtId="17" fontId="15" fillId="4" borderId="1" xfId="0" applyNumberFormat="1" applyFont="1" applyFill="1" applyBorder="1" applyAlignment="1">
      <alignment horizontal="center" vertical="center" wrapText="1"/>
    </xf>
    <xf numFmtId="17" fontId="9" fillId="7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43" fontId="8" fillId="8" borderId="1" xfId="1" applyFont="1" applyFill="1" applyBorder="1"/>
    <xf numFmtId="164" fontId="10" fillId="8" borderId="1" xfId="1" applyNumberFormat="1" applyFont="1" applyFill="1" applyBorder="1"/>
    <xf numFmtId="0" fontId="10" fillId="5" borderId="23" xfId="0" applyFont="1" applyFill="1" applyBorder="1" applyAlignment="1">
      <alignment horizontal="center" vertical="center"/>
    </xf>
    <xf numFmtId="164" fontId="8" fillId="2" borderId="23" xfId="1" applyNumberFormat="1" applyFont="1" applyFill="1" applyBorder="1" applyAlignment="1">
      <alignment horizontal="center" vertical="center"/>
    </xf>
    <xf numFmtId="43" fontId="0" fillId="0" borderId="23" xfId="3" applyFont="1" applyFill="1" applyBorder="1" applyAlignment="1">
      <alignment horizontal="center" vertical="center"/>
    </xf>
    <xf numFmtId="43" fontId="14" fillId="0" borderId="23" xfId="3" applyFont="1" applyFill="1" applyBorder="1" applyAlignment="1">
      <alignment horizontal="center" vertical="center"/>
    </xf>
    <xf numFmtId="17" fontId="15" fillId="4" borderId="24" xfId="0" applyNumberFormat="1" applyFont="1" applyFill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/>
    </xf>
    <xf numFmtId="164" fontId="8" fillId="2" borderId="25" xfId="1" applyNumberFormat="1" applyFont="1" applyFill="1" applyBorder="1"/>
    <xf numFmtId="43" fontId="8" fillId="6" borderId="25" xfId="1" applyFont="1" applyFill="1" applyBorder="1"/>
    <xf numFmtId="43" fontId="8" fillId="6" borderId="26" xfId="1" applyFont="1" applyFill="1" applyBorder="1"/>
    <xf numFmtId="0" fontId="16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0" borderId="16" xfId="0" applyBorder="1" applyAlignment="1">
      <alignment vertical="center"/>
    </xf>
    <xf numFmtId="0" fontId="3" fillId="0" borderId="0" xfId="0" applyFont="1"/>
    <xf numFmtId="43" fontId="5" fillId="0" borderId="0" xfId="1" applyFont="1" applyFill="1" applyBorder="1" applyAlignment="1">
      <alignment horizontal="center" vertical="center"/>
    </xf>
    <xf numFmtId="43" fontId="3" fillId="2" borderId="0" xfId="1" applyFont="1" applyFill="1" applyBorder="1"/>
    <xf numFmtId="0" fontId="17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0" xfId="0" applyNumberFormat="1"/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9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top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10" fontId="12" fillId="5" borderId="1" xfId="2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13" fillId="5" borderId="1" xfId="2" applyNumberFormat="1" applyFont="1" applyFill="1" applyBorder="1" applyAlignment="1">
      <alignment horizontal="center" vertical="center"/>
    </xf>
    <xf numFmtId="164" fontId="8" fillId="10" borderId="1" xfId="1" applyNumberFormat="1" applyFont="1" applyFill="1" applyBorder="1" applyAlignment="1">
      <alignment horizontal="center" vertical="center"/>
    </xf>
    <xf numFmtId="43" fontId="8" fillId="10" borderId="1" xfId="1" applyFont="1" applyFill="1" applyBorder="1" applyAlignment="1">
      <alignment horizontal="center" vertical="center"/>
    </xf>
    <xf numFmtId="166" fontId="8" fillId="0" borderId="1" xfId="1" applyNumberFormat="1" applyFont="1" applyFill="1" applyBorder="1" applyAlignment="1">
      <alignment horizontal="center" vertical="center"/>
    </xf>
    <xf numFmtId="166" fontId="8" fillId="6" borderId="1" xfId="1" applyNumberFormat="1" applyFont="1" applyFill="1" applyBorder="1" applyAlignment="1">
      <alignment horizontal="center" vertical="center"/>
    </xf>
    <xf numFmtId="166" fontId="8" fillId="6" borderId="25" xfId="1" applyNumberFormat="1" applyFont="1" applyFill="1" applyBorder="1"/>
    <xf numFmtId="43" fontId="11" fillId="10" borderId="1" xfId="1" applyFont="1" applyFill="1" applyBorder="1" applyAlignment="1">
      <alignment horizontal="center" vertical="center"/>
    </xf>
    <xf numFmtId="166" fontId="11" fillId="0" borderId="1" xfId="1" applyNumberFormat="1" applyFont="1" applyFill="1" applyBorder="1" applyAlignment="1">
      <alignment horizontal="center" vertical="center"/>
    </xf>
    <xf numFmtId="166" fontId="8" fillId="6" borderId="26" xfId="1" applyNumberFormat="1" applyFont="1" applyFill="1" applyBorder="1"/>
  </cellXfs>
  <cellStyles count="4">
    <cellStyle name="Normal" xfId="0" builtinId="0"/>
    <cellStyle name="Porcentagem" xfId="2" builtinId="5"/>
    <cellStyle name="Vírgula" xfId="1" builtinId="3"/>
    <cellStyle name="Vírgula 2" xfId="3" xr:uid="{6F7777CA-3D3D-450F-AE5F-C9DA608D5CB9}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GAF\OR&#199;AMENTO\2026\V2\04%20-%20Anexos\Budget%202026%2024_10_2025%20v03%20base%20MRF10.xlsx" TargetMode="External"/><Relationship Id="rId1" Type="http://schemas.openxmlformats.org/officeDocument/2006/relationships/externalLinkPath" Target="file:///Y:\GAF\OR&#199;AMENTO\2026\V2\04%20-%20Anexos\Budget%202026%2024_10_2025%20v03%20base%20MRF1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GAF\OR&#199;AMENTO\2026\V2\04%20-%20Anexos\Resumo%20Produ&#231;&#245;es%20-%202026.xlsx" TargetMode="External"/><Relationship Id="rId1" Type="http://schemas.openxmlformats.org/officeDocument/2006/relationships/externalLinkPath" Target="file:///Y:\GAF\OR&#199;AMENTO\2026\V2\04%20-%20Anexos\Resumo%20Produ&#231;&#245;es%20-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GAF\Custos\2025\MRF\10%20-%20Out\02%20-%20Input\KPI%20-%20Indicadores%20Lamina&#231;&#227;o_Barra%20Mansa%20MRF10.xlsx" TargetMode="External"/><Relationship Id="rId1" Type="http://schemas.openxmlformats.org/officeDocument/2006/relationships/externalLinkPath" Target="file:///Y:\GAF\Custos\2025\MRF\10%20-%20Out\02%20-%20Input\KPI%20-%20Indicadores%20Lamina&#231;&#227;o_Barra%20Mansa%20MRF1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GAF\Custos\2026\MRF\02%20-%20FEV\04%20-%20Anexos\MRF02%20-%2003_02_26%20-%20Aba%20Produ&#231;&#227;o.xlsx" TargetMode="External"/><Relationship Id="rId1" Type="http://schemas.openxmlformats.org/officeDocument/2006/relationships/externalLinkPath" Target="file:///Y:\GAF\Custos\2026\MRF\02%20-%20FEV\04%20-%20Anexos\MRF02%20-%2003_02_26%20-%20Aba%20Produ&#231;&#227;o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40000398\AppData\Local\Microsoft\Windows\INetCache\Content.Outlook\H9RQ1SB5\KPI%20-%20Indicadores%20Lamina&#231;&#227;o_Barra%20Mansa_2026_MRF02.xlsx" TargetMode="External"/><Relationship Id="rId1" Type="http://schemas.openxmlformats.org/officeDocument/2006/relationships/externalLinkPath" Target="file:///C:\Users\40000398\AppData\Local\Microsoft\Windows\INetCache\Content.Outlook\H9RQ1SB5\KPI%20-%20Indicadores%20Lamina&#231;&#227;o_Barra%20Mansa_2026_MRF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ção 2026"/>
      <sheetName val="Vendas 2026"/>
      <sheetName val="Estoques 2026"/>
      <sheetName val="Atendimento à Demanda 2026"/>
      <sheetName val="Transferências Rede e BP 2026"/>
      <sheetName val="Expedição 2026 Geral"/>
      <sheetName val="Produção Lam Detalhado"/>
      <sheetName val="Produção Sabará Detalhado"/>
      <sheetName val="Estoque Projetado Usinas"/>
    </sheetNames>
    <sheetDataSet>
      <sheetData sheetId="0" refreshError="1">
        <row r="35">
          <cell r="E35">
            <v>32705</v>
          </cell>
          <cell r="F35">
            <v>29516</v>
          </cell>
          <cell r="G35">
            <v>32705</v>
          </cell>
          <cell r="H35">
            <v>31642</v>
          </cell>
          <cell r="I35">
            <v>32705</v>
          </cell>
          <cell r="J35">
            <v>27937</v>
          </cell>
          <cell r="K35">
            <v>29242</v>
          </cell>
          <cell r="L35">
            <v>39842</v>
          </cell>
          <cell r="M35">
            <v>45432</v>
          </cell>
          <cell r="N35">
            <v>46978</v>
          </cell>
          <cell r="O35">
            <v>45432</v>
          </cell>
          <cell r="P35">
            <v>35064</v>
          </cell>
          <cell r="R35">
            <v>429200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ções"/>
      <sheetName val="Rateio SF"/>
      <sheetName val="Rateio SF (2)"/>
      <sheetName val="Oferta 2025"/>
      <sheetName val="Cenários"/>
    </sheetNames>
    <sheetDataSet>
      <sheetData sheetId="0">
        <row r="88">
          <cell r="C88">
            <v>10705</v>
          </cell>
          <cell r="D88">
            <v>9616</v>
          </cell>
          <cell r="E88">
            <v>10705</v>
          </cell>
          <cell r="F88">
            <v>10342</v>
          </cell>
          <cell r="G88">
            <v>10705</v>
          </cell>
          <cell r="H88">
            <v>17237</v>
          </cell>
          <cell r="I88">
            <v>17842</v>
          </cell>
          <cell r="J88">
            <v>17842</v>
          </cell>
          <cell r="K88">
            <v>24132</v>
          </cell>
          <cell r="L88">
            <v>24978</v>
          </cell>
          <cell r="M88">
            <v>24132</v>
          </cell>
          <cell r="N88">
            <v>13064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L1"/>
      <sheetName val="TL2"/>
    </sheetNames>
    <sheetDataSet>
      <sheetData sheetId="0" refreshError="1"/>
      <sheetData sheetId="1" refreshError="1">
        <row r="4">
          <cell r="N4">
            <v>15010</v>
          </cell>
        </row>
        <row r="5">
          <cell r="N5">
            <v>93.670886075949369</v>
          </cell>
        </row>
        <row r="6">
          <cell r="N6">
            <v>100.00639819453697</v>
          </cell>
        </row>
        <row r="7">
          <cell r="N7">
            <v>72.418387741505668</v>
          </cell>
        </row>
        <row r="8">
          <cell r="N8">
            <v>-62.328447701532312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ção 2026"/>
    </sheetNames>
    <sheetDataSet>
      <sheetData sheetId="0">
        <row r="36">
          <cell r="E36">
            <v>9500.384</v>
          </cell>
        </row>
        <row r="37">
          <cell r="F37">
            <v>30216</v>
          </cell>
          <cell r="G37">
            <v>34705</v>
          </cell>
          <cell r="H37">
            <v>32442</v>
          </cell>
          <cell r="I37">
            <v>33304.999999999003</v>
          </cell>
          <cell r="J37">
            <v>28737.000000000997</v>
          </cell>
          <cell r="K37">
            <v>29542</v>
          </cell>
          <cell r="L37">
            <v>40642</v>
          </cell>
          <cell r="M37">
            <v>45937</v>
          </cell>
          <cell r="N37">
            <v>46978</v>
          </cell>
          <cell r="O37">
            <v>45432</v>
          </cell>
          <cell r="P37">
            <v>35164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L1"/>
      <sheetName val="Planilha1"/>
      <sheetName val="TL2"/>
      <sheetName val="TL1+TL2"/>
      <sheetName val="Comparação Médio"/>
      <sheetName val="Resumo Produção"/>
      <sheetName val="KPIs Real"/>
      <sheetName val="Dados e-mail"/>
    </sheetNames>
    <sheetDataSet>
      <sheetData sheetId="0" refreshError="1"/>
      <sheetData sheetId="1" refreshError="1"/>
      <sheetData sheetId="2">
        <row r="4">
          <cell r="C4">
            <v>9816</v>
          </cell>
          <cell r="D4">
            <v>11705</v>
          </cell>
          <cell r="E4">
            <v>10642</v>
          </cell>
          <cell r="F4">
            <v>11005</v>
          </cell>
          <cell r="G4">
            <v>17537</v>
          </cell>
          <cell r="H4">
            <v>18142</v>
          </cell>
          <cell r="I4">
            <v>18142</v>
          </cell>
          <cell r="J4">
            <v>24437</v>
          </cell>
          <cell r="K4">
            <v>24978</v>
          </cell>
          <cell r="L4">
            <v>24132</v>
          </cell>
          <cell r="M4">
            <v>13164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T30"/>
  <sheetViews>
    <sheetView showGridLines="0"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T15" sqref="T15"/>
    </sheetView>
  </sheetViews>
  <sheetFormatPr defaultRowHeight="15" x14ac:dyDescent="0.25"/>
  <cols>
    <col min="1" max="1" width="21.5703125" customWidth="1"/>
    <col min="2" max="2" width="8.42578125" style="1" bestFit="1" customWidth="1"/>
    <col min="3" max="11" width="8.140625" style="1" customWidth="1"/>
    <col min="12" max="12" width="8.42578125" style="1" bestFit="1" customWidth="1"/>
    <col min="13" max="13" width="8.140625" style="1" customWidth="1"/>
    <col min="14" max="14" width="10.42578125" bestFit="1" customWidth="1"/>
    <col min="15" max="15" width="0.85546875" customWidth="1"/>
    <col min="16" max="16" width="9.5703125" bestFit="1" customWidth="1"/>
    <col min="17" max="17" width="0.42578125" customWidth="1"/>
    <col min="18" max="18" width="11.140625" customWidth="1"/>
    <col min="19" max="19" width="0.85546875" customWidth="1"/>
    <col min="20" max="20" width="60.5703125" customWidth="1"/>
  </cols>
  <sheetData>
    <row r="1" spans="1:20" ht="15.75" thickBot="1" x14ac:dyDescent="0.3">
      <c r="A1" s="53"/>
      <c r="N1" s="22">
        <f>'[1]Produção 2026'!$R$35</f>
        <v>429200</v>
      </c>
      <c r="O1" s="22">
        <f>N4+'TL2'!N4</f>
        <v>427818.27</v>
      </c>
      <c r="Q1" s="22">
        <f>N1-O1</f>
        <v>1381.7299999999814</v>
      </c>
      <c r="S1" s="22"/>
    </row>
    <row r="2" spans="1:20" ht="14.45" customHeight="1" x14ac:dyDescent="0.25">
      <c r="A2" s="79" t="s">
        <v>32</v>
      </c>
      <c r="B2" s="38" t="s">
        <v>33</v>
      </c>
      <c r="C2" s="38" t="s">
        <v>33</v>
      </c>
      <c r="D2" s="38" t="s">
        <v>33</v>
      </c>
      <c r="E2" s="38" t="s">
        <v>33</v>
      </c>
      <c r="F2" s="38" t="s">
        <v>33</v>
      </c>
      <c r="G2" s="38" t="s">
        <v>33</v>
      </c>
      <c r="H2" s="38" t="s">
        <v>33</v>
      </c>
      <c r="I2" s="38" t="s">
        <v>33</v>
      </c>
      <c r="J2" s="38" t="s">
        <v>33</v>
      </c>
      <c r="K2" s="38" t="s">
        <v>33</v>
      </c>
      <c r="L2" s="38" t="s">
        <v>33</v>
      </c>
      <c r="M2" s="38" t="s">
        <v>33</v>
      </c>
      <c r="N2" s="47" t="s">
        <v>33</v>
      </c>
      <c r="P2" s="39" t="s">
        <v>46</v>
      </c>
      <c r="R2" s="75" t="s">
        <v>34</v>
      </c>
      <c r="T2" s="77" t="s">
        <v>22</v>
      </c>
    </row>
    <row r="3" spans="1:20" x14ac:dyDescent="0.25">
      <c r="A3" s="79"/>
      <c r="B3" s="28" t="s">
        <v>5</v>
      </c>
      <c r="C3" s="28" t="s">
        <v>6</v>
      </c>
      <c r="D3" s="28" t="s">
        <v>7</v>
      </c>
      <c r="E3" s="28" t="s">
        <v>8</v>
      </c>
      <c r="F3" s="28" t="s">
        <v>9</v>
      </c>
      <c r="G3" s="28" t="s">
        <v>10</v>
      </c>
      <c r="H3" s="28" t="s">
        <v>11</v>
      </c>
      <c r="I3" s="28" t="s">
        <v>12</v>
      </c>
      <c r="J3" s="28" t="s">
        <v>13</v>
      </c>
      <c r="K3" s="28" t="s">
        <v>14</v>
      </c>
      <c r="L3" s="28" t="s">
        <v>15</v>
      </c>
      <c r="M3" s="28" t="s">
        <v>16</v>
      </c>
      <c r="N3" s="48" t="s">
        <v>21</v>
      </c>
      <c r="P3" s="40" t="s">
        <v>21</v>
      </c>
      <c r="R3" s="76"/>
      <c r="T3" s="78"/>
    </row>
    <row r="4" spans="1:20" x14ac:dyDescent="0.25">
      <c r="A4" s="25" t="s">
        <v>0</v>
      </c>
      <c r="B4" s="87">
        <v>17118.27</v>
      </c>
      <c r="C4" s="26">
        <f>'[4]Produção 2026'!F37-[5]TL2!C4</f>
        <v>20400</v>
      </c>
      <c r="D4" s="26">
        <f>'[4]Produção 2026'!G37-[5]TL2!D4</f>
        <v>23000</v>
      </c>
      <c r="E4" s="26">
        <f>'[4]Produção 2026'!H37-[5]TL2!E4</f>
        <v>21800</v>
      </c>
      <c r="F4" s="26">
        <f>'[4]Produção 2026'!I37-[5]TL2!F4</f>
        <v>22299.999999999003</v>
      </c>
      <c r="G4" s="26">
        <f>'[4]Produção 2026'!J37-[5]TL2!G4</f>
        <v>11200.000000000997</v>
      </c>
      <c r="H4" s="26">
        <f>'[4]Produção 2026'!K37-[5]TL2!H4</f>
        <v>11400</v>
      </c>
      <c r="I4" s="26">
        <f>'[4]Produção 2026'!L37-[5]TL2!I4</f>
        <v>22500</v>
      </c>
      <c r="J4" s="26">
        <f>'[4]Produção 2026'!M37-[5]TL2!J4</f>
        <v>21500</v>
      </c>
      <c r="K4" s="26">
        <f>'[4]Produção 2026'!N37-[5]TL2!K4</f>
        <v>22000</v>
      </c>
      <c r="L4" s="26">
        <f>'[4]Produção 2026'!O37-[5]TL2!L4</f>
        <v>21300</v>
      </c>
      <c r="M4" s="26">
        <f>'[4]Produção 2026'!P37-[5]TL2!M4</f>
        <v>22000</v>
      </c>
      <c r="N4" s="49">
        <f>SUM(B4:M4)</f>
        <v>236518.27</v>
      </c>
      <c r="P4" s="42">
        <v>237900</v>
      </c>
      <c r="R4" s="36">
        <f>N4-P4</f>
        <v>-1381.7300000000105</v>
      </c>
      <c r="T4" s="29"/>
    </row>
    <row r="5" spans="1:20" x14ac:dyDescent="0.25">
      <c r="A5" s="25" t="s">
        <v>1</v>
      </c>
      <c r="B5" s="88">
        <v>96.314533390790302</v>
      </c>
      <c r="C5" s="89">
        <v>96.3</v>
      </c>
      <c r="D5" s="89">
        <v>96.34</v>
      </c>
      <c r="E5" s="89">
        <v>96.34</v>
      </c>
      <c r="F5" s="89">
        <v>96.34</v>
      </c>
      <c r="G5" s="89">
        <v>96.34</v>
      </c>
      <c r="H5" s="89">
        <v>96.34</v>
      </c>
      <c r="I5" s="89">
        <v>96.34</v>
      </c>
      <c r="J5" s="89">
        <v>96.34</v>
      </c>
      <c r="K5" s="89">
        <v>96.41</v>
      </c>
      <c r="L5" s="89">
        <v>96.42</v>
      </c>
      <c r="M5" s="89">
        <v>96.42</v>
      </c>
      <c r="N5" s="50">
        <f>SUMPRODUCT($B$4:$M$4,B5:M5)/$N$4</f>
        <v>96.355863703499807</v>
      </c>
      <c r="P5" s="41">
        <v>96.360000000000014</v>
      </c>
      <c r="R5" s="36">
        <f>N5-P5</f>
        <v>-4.1362965002065266E-3</v>
      </c>
      <c r="T5" s="80" t="s">
        <v>38</v>
      </c>
    </row>
    <row r="6" spans="1:20" x14ac:dyDescent="0.25">
      <c r="A6" s="25" t="s">
        <v>2</v>
      </c>
      <c r="B6" s="88">
        <v>80.762133089380001</v>
      </c>
      <c r="C6" s="89">
        <v>75</v>
      </c>
      <c r="D6" s="89">
        <v>75</v>
      </c>
      <c r="E6" s="89">
        <v>75</v>
      </c>
      <c r="F6" s="89">
        <v>75</v>
      </c>
      <c r="G6" s="89">
        <v>75</v>
      </c>
      <c r="H6" s="89">
        <v>75</v>
      </c>
      <c r="I6" s="90">
        <v>75</v>
      </c>
      <c r="J6" s="89">
        <v>75</v>
      </c>
      <c r="K6" s="89">
        <v>75</v>
      </c>
      <c r="L6" s="89">
        <v>73</v>
      </c>
      <c r="M6" s="89">
        <v>72</v>
      </c>
      <c r="N6" s="50">
        <f>SUMPRODUCT($B$4:$M$4,B6:M6)/$N$4</f>
        <v>74.957879575222421</v>
      </c>
      <c r="P6" s="41">
        <v>75</v>
      </c>
      <c r="R6" s="36">
        <f>N6-P6</f>
        <v>-4.2120424777579046E-2</v>
      </c>
      <c r="T6" s="81"/>
    </row>
    <row r="7" spans="1:20" x14ac:dyDescent="0.25">
      <c r="A7" s="25" t="s">
        <v>3</v>
      </c>
      <c r="B7" s="88">
        <v>45.395826542185716</v>
      </c>
      <c r="C7" s="89">
        <v>41.95</v>
      </c>
      <c r="D7" s="89">
        <v>41.83</v>
      </c>
      <c r="E7" s="89">
        <v>42.08</v>
      </c>
      <c r="F7" s="89">
        <v>41.83</v>
      </c>
      <c r="G7" s="89">
        <v>41.5</v>
      </c>
      <c r="H7" s="89">
        <v>42.43</v>
      </c>
      <c r="I7" s="90">
        <v>41</v>
      </c>
      <c r="J7" s="89">
        <v>40</v>
      </c>
      <c r="K7" s="89">
        <v>39</v>
      </c>
      <c r="L7" s="89">
        <v>38</v>
      </c>
      <c r="M7" s="89">
        <v>38</v>
      </c>
      <c r="N7" s="91">
        <f>SUMPRODUCT($B$4:$M$4,B7:M7)/$N$4</f>
        <v>40.925054185548973</v>
      </c>
      <c r="P7" s="41">
        <v>41</v>
      </c>
      <c r="R7" s="36">
        <f>N7-P7</f>
        <v>-7.4945814451027104E-2</v>
      </c>
      <c r="T7" s="82"/>
    </row>
    <row r="8" spans="1:20" ht="15.75" thickBot="1" x14ac:dyDescent="0.3">
      <c r="A8" s="25" t="s">
        <v>4</v>
      </c>
      <c r="B8" s="92">
        <v>-35.944636928850002</v>
      </c>
      <c r="C8" s="93">
        <v>-34.53</v>
      </c>
      <c r="D8" s="93">
        <v>-34</v>
      </c>
      <c r="E8" s="93">
        <v>-34.53</v>
      </c>
      <c r="F8" s="93">
        <v>-34.53</v>
      </c>
      <c r="G8" s="93">
        <v>-34.53</v>
      </c>
      <c r="H8" s="93">
        <v>-34.53</v>
      </c>
      <c r="I8" s="93">
        <v>-34.53</v>
      </c>
      <c r="J8" s="93">
        <v>-34.53</v>
      </c>
      <c r="K8" s="93">
        <v>-34.53</v>
      </c>
      <c r="L8" s="93">
        <v>-34.53</v>
      </c>
      <c r="M8" s="93">
        <v>-34.53</v>
      </c>
      <c r="N8" s="94">
        <f>SUMPRODUCT($B$4:$M$4,B8:M8)/$N$4</f>
        <v>-34.580846545173976</v>
      </c>
      <c r="P8" s="41">
        <v>-34.53</v>
      </c>
      <c r="R8" s="36">
        <f>N8-P8</f>
        <v>-5.0846545173975244E-2</v>
      </c>
      <c r="T8" s="29"/>
    </row>
    <row r="9" spans="1:20" x14ac:dyDescent="0.25">
      <c r="A9" s="59"/>
      <c r="B9" s="59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</row>
    <row r="10" spans="1:20" hidden="1" x14ac:dyDescent="0.25">
      <c r="B10" s="3">
        <f>B4/B5%</f>
        <v>17773.299000000003</v>
      </c>
      <c r="C10" s="3">
        <f t="shared" ref="C10:N10" si="0">C4/C5%</f>
        <v>21183.800623052961</v>
      </c>
      <c r="D10" s="3">
        <f t="shared" si="0"/>
        <v>23873.780361220677</v>
      </c>
      <c r="E10" s="3">
        <f t="shared" si="0"/>
        <v>22628.191820635249</v>
      </c>
      <c r="F10" s="3">
        <f t="shared" si="0"/>
        <v>23147.187045878141</v>
      </c>
      <c r="G10" s="3">
        <f t="shared" si="0"/>
        <v>11625.493045465017</v>
      </c>
      <c r="H10" s="3">
        <f t="shared" si="0"/>
        <v>11833.091135561552</v>
      </c>
      <c r="I10" s="3">
        <f t="shared" si="0"/>
        <v>23354.785135976748</v>
      </c>
      <c r="J10" s="3">
        <f t="shared" si="0"/>
        <v>22316.794685488894</v>
      </c>
      <c r="K10" s="3">
        <f t="shared" si="0"/>
        <v>22819.209625557516</v>
      </c>
      <c r="L10" s="3">
        <f t="shared" si="0"/>
        <v>22090.85252022402</v>
      </c>
      <c r="M10" s="3">
        <f t="shared" si="0"/>
        <v>22816.842978635137</v>
      </c>
      <c r="N10" s="3">
        <f t="shared" si="0"/>
        <v>245463.28672617071</v>
      </c>
      <c r="O10" s="3">
        <f>P4/P5%</f>
        <v>246886.67496886672</v>
      </c>
      <c r="Q10" s="3"/>
      <c r="S10" s="3"/>
    </row>
    <row r="11" spans="1:20" hidden="1" x14ac:dyDescent="0.25">
      <c r="B11" s="3">
        <f>B8*B4/1000</f>
        <v>-615.31000000002518</v>
      </c>
      <c r="C11" s="3">
        <f t="shared" ref="C11:N11" si="1">C8*C4/1000</f>
        <v>-704.41200000000003</v>
      </c>
      <c r="D11" s="3">
        <f t="shared" si="1"/>
        <v>-782</v>
      </c>
      <c r="E11" s="3">
        <f t="shared" si="1"/>
        <v>-752.75400000000002</v>
      </c>
      <c r="F11" s="3">
        <f t="shared" si="1"/>
        <v>-770.01899999996567</v>
      </c>
      <c r="G11" s="3">
        <f t="shared" si="1"/>
        <v>-386.73600000003444</v>
      </c>
      <c r="H11" s="3">
        <f t="shared" si="1"/>
        <v>-393.642</v>
      </c>
      <c r="I11" s="3">
        <f t="shared" si="1"/>
        <v>-776.92499999999995</v>
      </c>
      <c r="J11" s="3">
        <f t="shared" si="1"/>
        <v>-742.39499999999998</v>
      </c>
      <c r="K11" s="3">
        <f t="shared" si="1"/>
        <v>-759.66</v>
      </c>
      <c r="L11" s="3">
        <f t="shared" si="1"/>
        <v>-735.48900000000003</v>
      </c>
      <c r="M11" s="3">
        <f t="shared" si="1"/>
        <v>-759.66</v>
      </c>
      <c r="N11" s="3">
        <f t="shared" si="1"/>
        <v>-8179.002000000025</v>
      </c>
      <c r="O11" s="3">
        <f>P8*P4/1000</f>
        <v>-8214.6869999999999</v>
      </c>
      <c r="Q11" s="3"/>
      <c r="S11" s="3"/>
    </row>
    <row r="12" spans="1:20" hidden="1" x14ac:dyDescent="0.25">
      <c r="B12" s="3">
        <f>B10-B4+B11</f>
        <v>39.718999999977086</v>
      </c>
      <c r="C12" s="3">
        <f t="shared" ref="C12:N12" si="2">C10-C4+C11</f>
        <v>79.388623052960838</v>
      </c>
      <c r="D12" s="3">
        <f t="shared" si="2"/>
        <v>91.78036122067715</v>
      </c>
      <c r="E12" s="3">
        <f t="shared" si="2"/>
        <v>75.437820635249295</v>
      </c>
      <c r="F12" s="3">
        <f t="shared" si="2"/>
        <v>77.168045879172496</v>
      </c>
      <c r="G12" s="3">
        <f t="shared" si="2"/>
        <v>38.757045463985378</v>
      </c>
      <c r="H12" s="3">
        <f t="shared" si="2"/>
        <v>39.449135561551714</v>
      </c>
      <c r="I12" s="3">
        <f t="shared" si="2"/>
        <v>77.860135976748325</v>
      </c>
      <c r="J12" s="3">
        <f t="shared" si="2"/>
        <v>74.399685488894193</v>
      </c>
      <c r="K12" s="3">
        <f t="shared" si="2"/>
        <v>59.549625557516151</v>
      </c>
      <c r="L12" s="3">
        <f t="shared" si="2"/>
        <v>55.363520224019794</v>
      </c>
      <c r="M12" s="3">
        <f t="shared" si="2"/>
        <v>57.182978635137147</v>
      </c>
      <c r="N12" s="3">
        <f t="shared" si="2"/>
        <v>766.01472617069976</v>
      </c>
      <c r="O12" s="3">
        <f>O10-P4+O11</f>
        <v>771.9879688667188</v>
      </c>
      <c r="Q12" s="3"/>
      <c r="S12" s="3"/>
    </row>
    <row r="13" spans="1:20" hidden="1" x14ac:dyDescent="0.25">
      <c r="A13" t="s">
        <v>17</v>
      </c>
      <c r="B13" s="2">
        <f>B12/B10</f>
        <v>2.2347567550614592E-3</v>
      </c>
      <c r="C13" s="2">
        <f t="shared" ref="C13:O13" si="3">C12/C10</f>
        <v>3.7476100000000631E-3</v>
      </c>
      <c r="D13" s="2">
        <f t="shared" si="3"/>
        <v>3.844400000000016E-3</v>
      </c>
      <c r="E13" s="2">
        <f t="shared" si="3"/>
        <v>3.3337979999999621E-3</v>
      </c>
      <c r="F13" s="2">
        <f t="shared" si="3"/>
        <v>3.3337979999999152E-3</v>
      </c>
      <c r="G13" s="2">
        <f t="shared" si="3"/>
        <v>3.3337980000000167E-3</v>
      </c>
      <c r="H13" s="2">
        <f t="shared" si="3"/>
        <v>3.3337979999999057E-3</v>
      </c>
      <c r="I13" s="2">
        <f t="shared" si="3"/>
        <v>3.3337979999999707E-3</v>
      </c>
      <c r="J13" s="2">
        <f t="shared" si="3"/>
        <v>3.333798000000031E-3</v>
      </c>
      <c r="K13" s="2">
        <f t="shared" si="3"/>
        <v>2.6096270000000601E-3</v>
      </c>
      <c r="L13" s="2">
        <f t="shared" si="3"/>
        <v>2.5061739999999947E-3</v>
      </c>
      <c r="M13" s="2">
        <f t="shared" si="3"/>
        <v>2.5061739999999652E-3</v>
      </c>
      <c r="N13" s="2">
        <f t="shared" si="3"/>
        <v>3.1206896004176625E-3</v>
      </c>
      <c r="O13" s="2">
        <f t="shared" si="3"/>
        <v>3.1268919999998751E-3</v>
      </c>
      <c r="Q13" s="2"/>
      <c r="S13" s="2"/>
    </row>
    <row r="14" spans="1:20" ht="15.75" thickBot="1" x14ac:dyDescent="0.3">
      <c r="A14" s="58" t="s">
        <v>37</v>
      </c>
    </row>
    <row r="15" spans="1:20" x14ac:dyDescent="0.25">
      <c r="A15" s="71" t="s">
        <v>29</v>
      </c>
      <c r="B15" s="5" t="s">
        <v>18</v>
      </c>
      <c r="C15" s="5" t="str">
        <f>B15</f>
        <v>Real</v>
      </c>
      <c r="D15" s="5" t="str">
        <f t="shared" ref="D15:M15" si="4">C15</f>
        <v>Real</v>
      </c>
      <c r="E15" s="5" t="str">
        <f t="shared" si="4"/>
        <v>Real</v>
      </c>
      <c r="F15" s="5" t="str">
        <f t="shared" si="4"/>
        <v>Real</v>
      </c>
      <c r="G15" s="5" t="str">
        <f t="shared" si="4"/>
        <v>Real</v>
      </c>
      <c r="H15" s="5" t="str">
        <f t="shared" si="4"/>
        <v>Real</v>
      </c>
      <c r="I15" s="5" t="str">
        <f t="shared" si="4"/>
        <v>Real</v>
      </c>
      <c r="J15" s="5" t="str">
        <f t="shared" si="4"/>
        <v>Real</v>
      </c>
      <c r="K15" s="5" t="s">
        <v>26</v>
      </c>
      <c r="L15" s="5" t="str">
        <f t="shared" si="4"/>
        <v>MRF10</v>
      </c>
      <c r="M15" s="5" t="str">
        <f t="shared" si="4"/>
        <v>MRF10</v>
      </c>
      <c r="N15" s="73" t="s">
        <v>26</v>
      </c>
    </row>
    <row r="16" spans="1:20" ht="15.75" thickBot="1" x14ac:dyDescent="0.3">
      <c r="A16" s="72"/>
      <c r="B16" s="6" t="s">
        <v>5</v>
      </c>
      <c r="C16" s="6" t="s">
        <v>6</v>
      </c>
      <c r="D16" s="6" t="s">
        <v>7</v>
      </c>
      <c r="E16" s="6" t="s">
        <v>8</v>
      </c>
      <c r="F16" s="6" t="s">
        <v>9</v>
      </c>
      <c r="G16" s="6" t="s">
        <v>10</v>
      </c>
      <c r="H16" s="6" t="s">
        <v>11</v>
      </c>
      <c r="I16" s="6" t="s">
        <v>12</v>
      </c>
      <c r="J16" s="6" t="s">
        <v>13</v>
      </c>
      <c r="K16" s="6" t="s">
        <v>14</v>
      </c>
      <c r="L16" s="6" t="s">
        <v>15</v>
      </c>
      <c r="M16" s="6" t="s">
        <v>16</v>
      </c>
      <c r="N16" s="74"/>
    </row>
    <row r="17" spans="1:14" x14ac:dyDescent="0.25">
      <c r="A17" s="7" t="s">
        <v>0</v>
      </c>
      <c r="B17" s="8">
        <v>22175.733</v>
      </c>
      <c r="C17" s="8">
        <v>19597.196</v>
      </c>
      <c r="D17" s="8">
        <v>27235.624999999982</v>
      </c>
      <c r="E17" s="8">
        <v>22033.072</v>
      </c>
      <c r="F17" s="8">
        <v>23736.183000000001</v>
      </c>
      <c r="G17" s="8">
        <v>21968.300999999989</v>
      </c>
      <c r="H17" s="8">
        <v>22899.010999999999</v>
      </c>
      <c r="I17" s="8">
        <v>23519.839</v>
      </c>
      <c r="J17" s="8">
        <v>21228.152999999998</v>
      </c>
      <c r="K17" s="9">
        <v>22650</v>
      </c>
      <c r="L17" s="9">
        <v>21719</v>
      </c>
      <c r="M17" s="9">
        <v>18910</v>
      </c>
      <c r="N17" s="10">
        <f>SUM(B17:M17)</f>
        <v>267672.11300000001</v>
      </c>
    </row>
    <row r="18" spans="1:14" x14ac:dyDescent="0.25">
      <c r="A18" s="11" t="s">
        <v>1</v>
      </c>
      <c r="B18" s="12">
        <v>96.514553587178298</v>
      </c>
      <c r="C18" s="12">
        <v>96.280567128481593</v>
      </c>
      <c r="D18" s="12">
        <v>96.351927678880301</v>
      </c>
      <c r="E18" s="12">
        <v>96.314678386830394</v>
      </c>
      <c r="F18" s="12">
        <v>96.317073996116207</v>
      </c>
      <c r="G18" s="12">
        <v>96.272814521359507</v>
      </c>
      <c r="H18" s="12">
        <v>96.360642207035099</v>
      </c>
      <c r="I18" s="12">
        <v>96.329319136435203</v>
      </c>
      <c r="J18" s="12">
        <v>96.349742687947796</v>
      </c>
      <c r="K18" s="13">
        <v>96.31</v>
      </c>
      <c r="L18" s="13">
        <v>96.31</v>
      </c>
      <c r="M18" s="13">
        <v>96.33</v>
      </c>
      <c r="N18" s="14">
        <f>SUMPRODUCT($B$17:$M$17,B18:M18)/$N$17</f>
        <v>96.337613040616304</v>
      </c>
    </row>
    <row r="19" spans="1:14" x14ac:dyDescent="0.25">
      <c r="A19" s="11" t="s">
        <v>2</v>
      </c>
      <c r="B19" s="12">
        <v>77.066088412949995</v>
      </c>
      <c r="C19" s="12">
        <v>72.273400745700002</v>
      </c>
      <c r="D19" s="12">
        <v>66.540439483848374</v>
      </c>
      <c r="E19" s="12">
        <v>68.915582901920004</v>
      </c>
      <c r="F19" s="12">
        <v>71.737872181379998</v>
      </c>
      <c r="G19" s="12">
        <v>70.965707865238201</v>
      </c>
      <c r="H19" s="12">
        <v>77.430636633169996</v>
      </c>
      <c r="I19" s="12">
        <v>68.816112219135505</v>
      </c>
      <c r="J19" s="12">
        <v>72.459483403950003</v>
      </c>
      <c r="K19" s="13">
        <v>71.5</v>
      </c>
      <c r="L19" s="13">
        <v>70.400000000000006</v>
      </c>
      <c r="M19" s="13">
        <v>70.400000000000006</v>
      </c>
      <c r="N19" s="14">
        <f t="shared" ref="N19" si="5">SUMPRODUCT($B$17:$M$17,B19:M19)/$N$17</f>
        <v>71.458289083355865</v>
      </c>
    </row>
    <row r="20" spans="1:14" x14ac:dyDescent="0.25">
      <c r="A20" s="15" t="s">
        <v>3</v>
      </c>
      <c r="B20" s="16">
        <v>40.838213539529825</v>
      </c>
      <c r="C20" s="16">
        <v>40.781515284788703</v>
      </c>
      <c r="D20" s="16">
        <v>38.333846587302205</v>
      </c>
      <c r="E20" s="16">
        <v>40.385399249124184</v>
      </c>
      <c r="F20" s="16">
        <v>39.355260375744777</v>
      </c>
      <c r="G20" s="16">
        <v>40.622727332484736</v>
      </c>
      <c r="H20" s="16">
        <v>42.377916649496377</v>
      </c>
      <c r="I20" s="16">
        <v>39.737123299611028</v>
      </c>
      <c r="J20" s="16">
        <v>41.337043650660497</v>
      </c>
      <c r="K20" s="17">
        <v>40.5</v>
      </c>
      <c r="L20" s="17">
        <v>40</v>
      </c>
      <c r="M20" s="17">
        <v>39</v>
      </c>
      <c r="N20" s="14">
        <f>SUMPRODUCT($B$17:$M$17,B20:M20)/$N$17</f>
        <v>40.240817019764272</v>
      </c>
    </row>
    <row r="21" spans="1:14" ht="15.75" thickBot="1" x14ac:dyDescent="0.3">
      <c r="A21" s="19" t="s">
        <v>4</v>
      </c>
      <c r="B21" s="20">
        <v>-33.825262957489997</v>
      </c>
      <c r="C21" s="20">
        <v>-35.482627208499999</v>
      </c>
      <c r="D21" s="20">
        <v>-31.899693843444581</v>
      </c>
      <c r="E21" s="20">
        <v>-33.59767534913</v>
      </c>
      <c r="F21" s="20">
        <v>-33.34262536544</v>
      </c>
      <c r="G21" s="20">
        <v>-34.774888760319278</v>
      </c>
      <c r="H21" s="20">
        <v>-35.719883273560001</v>
      </c>
      <c r="I21" s="20">
        <v>-36.657563854922635</v>
      </c>
      <c r="J21" s="20">
        <v>-35.600836304509997</v>
      </c>
      <c r="K21" s="21">
        <v>-34.4</v>
      </c>
      <c r="L21" s="21">
        <v>-34.4</v>
      </c>
      <c r="M21" s="21">
        <v>-35.5</v>
      </c>
      <c r="N21" s="14">
        <f>SUMPRODUCT($B$17:$M$17,B21:M21)/$N$17</f>
        <v>-34.532430279868798</v>
      </c>
    </row>
    <row r="22" spans="1:14" x14ac:dyDescent="0.25">
      <c r="A22" s="54"/>
      <c r="B22" s="54"/>
      <c r="C22" s="54"/>
      <c r="D22" s="54"/>
      <c r="E22" s="54"/>
      <c r="F22" s="54"/>
    </row>
    <row r="23" spans="1:14" ht="15.75" thickBot="1" x14ac:dyDescent="0.3">
      <c r="A23" s="58" t="s">
        <v>37</v>
      </c>
    </row>
    <row r="24" spans="1:14" x14ac:dyDescent="0.25">
      <c r="A24" s="71" t="s">
        <v>31</v>
      </c>
      <c r="B24" s="52" t="s">
        <v>28</v>
      </c>
      <c r="C24" s="52" t="s">
        <v>28</v>
      </c>
      <c r="D24" s="52" t="s">
        <v>28</v>
      </c>
      <c r="E24" s="52" t="s">
        <v>28</v>
      </c>
      <c r="F24" s="52" t="s">
        <v>28</v>
      </c>
      <c r="G24" s="52" t="s">
        <v>28</v>
      </c>
      <c r="H24" s="52" t="s">
        <v>28</v>
      </c>
      <c r="I24" s="52" t="s">
        <v>28</v>
      </c>
      <c r="J24" s="52" t="s">
        <v>28</v>
      </c>
      <c r="K24" s="52" t="s">
        <v>28</v>
      </c>
      <c r="L24" s="52" t="s">
        <v>28</v>
      </c>
      <c r="M24" s="52" t="s">
        <v>28</v>
      </c>
      <c r="N24" s="73" t="s">
        <v>28</v>
      </c>
    </row>
    <row r="25" spans="1:14" ht="15.75" thickBot="1" x14ac:dyDescent="0.3">
      <c r="A25" s="72"/>
      <c r="B25" s="6" t="s">
        <v>5</v>
      </c>
      <c r="C25" s="6" t="s">
        <v>6</v>
      </c>
      <c r="D25" s="6" t="s">
        <v>7</v>
      </c>
      <c r="E25" s="6" t="s">
        <v>8</v>
      </c>
      <c r="F25" s="6" t="s">
        <v>9</v>
      </c>
      <c r="G25" s="6" t="s">
        <v>10</v>
      </c>
      <c r="H25" s="6" t="s">
        <v>11</v>
      </c>
      <c r="I25" s="6" t="s">
        <v>12</v>
      </c>
      <c r="J25" s="6" t="s">
        <v>13</v>
      </c>
      <c r="K25" s="6" t="s">
        <v>14</v>
      </c>
      <c r="L25" s="6" t="s">
        <v>15</v>
      </c>
      <c r="M25" s="6" t="s">
        <v>16</v>
      </c>
      <c r="N25" s="74" t="s">
        <v>21</v>
      </c>
    </row>
    <row r="26" spans="1:14" x14ac:dyDescent="0.25">
      <c r="A26" s="7" t="s">
        <v>0</v>
      </c>
      <c r="B26" s="26">
        <v>22000</v>
      </c>
      <c r="C26" s="26">
        <v>19900</v>
      </c>
      <c r="D26" s="26">
        <v>22000</v>
      </c>
      <c r="E26" s="26">
        <v>21300</v>
      </c>
      <c r="F26" s="26">
        <v>22000</v>
      </c>
      <c r="G26" s="26">
        <v>10700</v>
      </c>
      <c r="H26" s="26">
        <v>11400</v>
      </c>
      <c r="I26" s="26">
        <v>22000</v>
      </c>
      <c r="J26" s="26">
        <v>21300</v>
      </c>
      <c r="K26" s="26">
        <v>22000.000000000997</v>
      </c>
      <c r="L26" s="26">
        <v>21300</v>
      </c>
      <c r="M26" s="26">
        <v>22000</v>
      </c>
      <c r="N26" s="10">
        <f>SUM(B26:M26)</f>
        <v>237900.00000000099</v>
      </c>
    </row>
    <row r="27" spans="1:14" x14ac:dyDescent="0.25">
      <c r="A27" s="11" t="s">
        <v>1</v>
      </c>
      <c r="B27" s="23">
        <v>96.3</v>
      </c>
      <c r="C27" s="23">
        <v>96.3</v>
      </c>
      <c r="D27" s="23">
        <v>96.34</v>
      </c>
      <c r="E27" s="23">
        <v>96.34</v>
      </c>
      <c r="F27" s="23">
        <v>96.34</v>
      </c>
      <c r="G27" s="23">
        <v>96.34</v>
      </c>
      <c r="H27" s="23">
        <v>96.34</v>
      </c>
      <c r="I27" s="23">
        <v>96.34</v>
      </c>
      <c r="J27" s="23">
        <v>96.34</v>
      </c>
      <c r="K27" s="23">
        <v>96.34</v>
      </c>
      <c r="L27" s="23">
        <v>96.38</v>
      </c>
      <c r="M27" s="23">
        <v>96.38</v>
      </c>
      <c r="N27" s="14">
        <f>SUMPRODUCT($B$26:$M$26,B27:M27)/$N$26</f>
        <v>96.340235393022283</v>
      </c>
    </row>
    <row r="28" spans="1:14" x14ac:dyDescent="0.25">
      <c r="A28" s="11" t="s">
        <v>2</v>
      </c>
      <c r="B28" s="23">
        <v>75.19</v>
      </c>
      <c r="C28" s="23">
        <v>75.239999999999995</v>
      </c>
      <c r="D28" s="23">
        <v>75.19</v>
      </c>
      <c r="E28" s="23">
        <v>75.709999999999994</v>
      </c>
      <c r="F28" s="23">
        <v>75.19</v>
      </c>
      <c r="G28" s="23">
        <v>73.44</v>
      </c>
      <c r="H28" s="23">
        <v>78.42</v>
      </c>
      <c r="I28" s="23">
        <v>75.19</v>
      </c>
      <c r="J28" s="23">
        <v>75.790000000000006</v>
      </c>
      <c r="K28" s="23">
        <v>75.19</v>
      </c>
      <c r="L28" s="23">
        <v>75.19</v>
      </c>
      <c r="M28" s="23">
        <v>75.19</v>
      </c>
      <c r="N28" s="14">
        <f t="shared" ref="N28:N30" si="6">SUMPRODUCT($B$26:$M$26,B28:M28)/$N$26</f>
        <v>75.370529634300127</v>
      </c>
    </row>
    <row r="29" spans="1:14" x14ac:dyDescent="0.25">
      <c r="A29" s="15" t="s">
        <v>3</v>
      </c>
      <c r="B29" s="23">
        <v>41.83</v>
      </c>
      <c r="C29" s="23">
        <v>41.95</v>
      </c>
      <c r="D29" s="23">
        <v>41.83</v>
      </c>
      <c r="E29" s="23">
        <v>42.08</v>
      </c>
      <c r="F29" s="23">
        <v>41.83</v>
      </c>
      <c r="G29" s="23">
        <v>41.5</v>
      </c>
      <c r="H29" s="23">
        <v>42.43</v>
      </c>
      <c r="I29" s="23">
        <v>41.83</v>
      </c>
      <c r="J29" s="23">
        <v>41.83</v>
      </c>
      <c r="K29" s="23">
        <v>41.83</v>
      </c>
      <c r="L29" s="23">
        <v>42.3</v>
      </c>
      <c r="M29" s="23">
        <v>41.83</v>
      </c>
      <c r="N29" s="14">
        <f t="shared" si="6"/>
        <v>41.918411097099622</v>
      </c>
    </row>
    <row r="30" spans="1:14" ht="15.75" thickBot="1" x14ac:dyDescent="0.3">
      <c r="A30" s="19" t="s">
        <v>4</v>
      </c>
      <c r="B30" s="27">
        <v>-34.200000000000003</v>
      </c>
      <c r="C30" s="27">
        <v>-34.4</v>
      </c>
      <c r="D30" s="27">
        <v>-34.200000000000003</v>
      </c>
      <c r="E30" s="27">
        <v>-34.4</v>
      </c>
      <c r="F30" s="27">
        <v>-34.299999999999997</v>
      </c>
      <c r="G30" s="27">
        <v>-35.700000000000003</v>
      </c>
      <c r="H30" s="27">
        <v>-34.4</v>
      </c>
      <c r="I30" s="27">
        <v>-34.4</v>
      </c>
      <c r="J30" s="27">
        <v>-34.4</v>
      </c>
      <c r="K30" s="27">
        <v>-34.4</v>
      </c>
      <c r="L30" s="27">
        <v>-34.4</v>
      </c>
      <c r="M30" s="27">
        <v>-35.700000000000003</v>
      </c>
      <c r="N30" s="14">
        <f t="shared" si="6"/>
        <v>-34.53245060949979</v>
      </c>
    </row>
  </sheetData>
  <mergeCells count="8">
    <mergeCell ref="A24:A25"/>
    <mergeCell ref="N24:N25"/>
    <mergeCell ref="R2:R3"/>
    <mergeCell ref="T2:T3"/>
    <mergeCell ref="A15:A16"/>
    <mergeCell ref="N15:N16"/>
    <mergeCell ref="A2:A3"/>
    <mergeCell ref="T5:T7"/>
  </mergeCells>
  <phoneticPr fontId="2" type="noConversion"/>
  <conditionalFormatting sqref="R4:R5"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R6:R8">
    <cfRule type="cellIs" dxfId="5" priority="3" operator="greaterThan">
      <formula>0</formula>
    </cfRule>
    <cfRule type="cellIs" dxfId="4" priority="4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customProperties>
    <customPr name="EpmWorksheetKeyString_GUID" r:id="rId2"/>
    <customPr name="FPMExcelClientCellBasedFunctionStatus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9301-5351-44EA-8CAC-152A6527C880}">
  <dimension ref="A1:N7"/>
  <sheetViews>
    <sheetView workbookViewId="0">
      <selection activeCell="N3" sqref="N3:N7"/>
    </sheetView>
  </sheetViews>
  <sheetFormatPr defaultRowHeight="15" x14ac:dyDescent="0.25"/>
  <sheetData>
    <row r="1" spans="1:14" x14ac:dyDescent="0.25">
      <c r="A1" s="79" t="s">
        <v>32</v>
      </c>
      <c r="B1" s="38" t="s">
        <v>33</v>
      </c>
      <c r="C1" s="38" t="s">
        <v>33</v>
      </c>
      <c r="D1" s="38" t="s">
        <v>33</v>
      </c>
      <c r="E1" s="38" t="s">
        <v>33</v>
      </c>
      <c r="F1" s="38" t="s">
        <v>33</v>
      </c>
      <c r="G1" s="38" t="s">
        <v>33</v>
      </c>
      <c r="H1" s="38" t="s">
        <v>33</v>
      </c>
      <c r="I1" s="38" t="s">
        <v>33</v>
      </c>
      <c r="J1" s="38" t="s">
        <v>33</v>
      </c>
      <c r="K1" s="38" t="s">
        <v>33</v>
      </c>
      <c r="L1" s="38" t="s">
        <v>33</v>
      </c>
      <c r="M1" s="38" t="s">
        <v>33</v>
      </c>
      <c r="N1" s="47" t="s">
        <v>33</v>
      </c>
    </row>
    <row r="2" spans="1:14" x14ac:dyDescent="0.25">
      <c r="A2" s="79"/>
      <c r="B2" s="28" t="s">
        <v>5</v>
      </c>
      <c r="C2" s="28" t="s">
        <v>6</v>
      </c>
      <c r="D2" s="28" t="s">
        <v>7</v>
      </c>
      <c r="E2" s="28" t="s">
        <v>8</v>
      </c>
      <c r="F2" s="28" t="s">
        <v>9</v>
      </c>
      <c r="G2" s="28" t="s">
        <v>10</v>
      </c>
      <c r="H2" s="28" t="s">
        <v>11</v>
      </c>
      <c r="I2" s="28" t="s">
        <v>12</v>
      </c>
      <c r="J2" s="28" t="s">
        <v>13</v>
      </c>
      <c r="K2" s="28" t="s">
        <v>14</v>
      </c>
      <c r="L2" s="28" t="s">
        <v>15</v>
      </c>
      <c r="M2" s="28" t="s">
        <v>16</v>
      </c>
      <c r="N2" s="48" t="s">
        <v>21</v>
      </c>
    </row>
    <row r="3" spans="1:14" x14ac:dyDescent="0.25">
      <c r="A3" s="25" t="s">
        <v>0</v>
      </c>
      <c r="B3" s="26">
        <v>22000</v>
      </c>
      <c r="C3" s="26">
        <v>19900</v>
      </c>
      <c r="D3" s="26">
        <v>22000</v>
      </c>
      <c r="E3" s="26">
        <v>21300</v>
      </c>
      <c r="F3" s="26">
        <v>22000</v>
      </c>
      <c r="G3" s="26">
        <v>10700</v>
      </c>
      <c r="H3" s="26">
        <v>11400</v>
      </c>
      <c r="I3" s="26">
        <v>22000</v>
      </c>
      <c r="J3" s="26">
        <v>21300</v>
      </c>
      <c r="K3" s="26">
        <v>22000</v>
      </c>
      <c r="L3" s="26">
        <v>21300</v>
      </c>
      <c r="M3" s="26">
        <v>22000</v>
      </c>
      <c r="N3" s="49">
        <v>237900</v>
      </c>
    </row>
    <row r="4" spans="1:14" x14ac:dyDescent="0.25">
      <c r="A4" s="25" t="s">
        <v>1</v>
      </c>
      <c r="B4" s="23">
        <v>96.3</v>
      </c>
      <c r="C4" s="23">
        <v>96.3</v>
      </c>
      <c r="D4" s="23">
        <v>96.34</v>
      </c>
      <c r="E4" s="23">
        <v>96.34</v>
      </c>
      <c r="F4" s="23">
        <v>96.34</v>
      </c>
      <c r="G4" s="23">
        <v>96.34</v>
      </c>
      <c r="H4" s="23">
        <v>96.34</v>
      </c>
      <c r="I4" s="23">
        <v>96.34</v>
      </c>
      <c r="J4" s="23">
        <v>96.34</v>
      </c>
      <c r="K4" s="23">
        <v>96.34</v>
      </c>
      <c r="L4" s="23">
        <v>96.38</v>
      </c>
      <c r="M4" s="23">
        <v>96.38</v>
      </c>
      <c r="N4" s="50">
        <v>96.340235393022283</v>
      </c>
    </row>
    <row r="5" spans="1:14" x14ac:dyDescent="0.25">
      <c r="A5" s="25" t="s">
        <v>2</v>
      </c>
      <c r="B5" s="23">
        <v>75.19</v>
      </c>
      <c r="C5" s="23">
        <v>75.239999999999995</v>
      </c>
      <c r="D5" s="23">
        <v>75.19</v>
      </c>
      <c r="E5" s="23">
        <v>75.709999999999994</v>
      </c>
      <c r="F5" s="23">
        <v>75.19</v>
      </c>
      <c r="G5" s="23">
        <v>73.44</v>
      </c>
      <c r="H5" s="23">
        <v>78.42</v>
      </c>
      <c r="I5" s="23">
        <v>75.19</v>
      </c>
      <c r="J5" s="23">
        <v>80.77</v>
      </c>
      <c r="K5" s="23">
        <v>78.08</v>
      </c>
      <c r="L5" s="23">
        <v>80.77</v>
      </c>
      <c r="M5" s="23">
        <v>75.19</v>
      </c>
      <c r="N5" s="50">
        <v>76.583257671290454</v>
      </c>
    </row>
    <row r="6" spans="1:14" x14ac:dyDescent="0.25">
      <c r="A6" s="25" t="s">
        <v>3</v>
      </c>
      <c r="B6" s="23">
        <v>41.83</v>
      </c>
      <c r="C6" s="23">
        <v>41.95</v>
      </c>
      <c r="D6" s="23">
        <v>41.83</v>
      </c>
      <c r="E6" s="23">
        <v>42.08</v>
      </c>
      <c r="F6" s="23">
        <v>41.83</v>
      </c>
      <c r="G6" s="23">
        <v>41.5</v>
      </c>
      <c r="H6" s="23">
        <v>42.43</v>
      </c>
      <c r="I6" s="23">
        <v>41.83</v>
      </c>
      <c r="J6" s="23">
        <v>43.62</v>
      </c>
      <c r="K6" s="23">
        <v>43.03</v>
      </c>
      <c r="L6" s="23">
        <v>43.62</v>
      </c>
      <c r="M6" s="23">
        <v>41.83</v>
      </c>
      <c r="N6" s="50">
        <v>42.307831021437579</v>
      </c>
    </row>
    <row r="7" spans="1:14" ht="15.75" thickBot="1" x14ac:dyDescent="0.3">
      <c r="A7" s="25" t="s">
        <v>4</v>
      </c>
      <c r="B7" s="27">
        <v>-34.200000000000003</v>
      </c>
      <c r="C7" s="27">
        <v>-34.4</v>
      </c>
      <c r="D7" s="27">
        <v>-34.200000000000003</v>
      </c>
      <c r="E7" s="27">
        <v>-34.4</v>
      </c>
      <c r="F7" s="27">
        <v>-34.299999999999997</v>
      </c>
      <c r="G7" s="27">
        <v>-35.700000000000003</v>
      </c>
      <c r="H7" s="27">
        <v>-34.4</v>
      </c>
      <c r="I7" s="27">
        <v>-34.4</v>
      </c>
      <c r="J7" s="27">
        <v>-34.4</v>
      </c>
      <c r="K7" s="27">
        <v>-34.4</v>
      </c>
      <c r="L7" s="27">
        <v>-34.4</v>
      </c>
      <c r="M7" s="27">
        <v>-35.700000000000003</v>
      </c>
      <c r="N7" s="51">
        <v>-34.53245060949979</v>
      </c>
    </row>
  </sheetData>
  <mergeCells count="1">
    <mergeCell ref="A1:A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1A54-74FD-4D82-8262-8A55A4DB040E}">
  <sheetPr>
    <tabColor rgb="FF0070C0"/>
  </sheetPr>
  <dimension ref="A1:T31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7" sqref="B7:M7"/>
    </sheetView>
  </sheetViews>
  <sheetFormatPr defaultRowHeight="15" x14ac:dyDescent="0.25"/>
  <cols>
    <col min="1" max="1" width="21.5703125" customWidth="1"/>
    <col min="2" max="10" width="8.42578125" style="1" bestFit="1" customWidth="1"/>
    <col min="11" max="11" width="8.5703125" style="1" bestFit="1" customWidth="1"/>
    <col min="12" max="13" width="8.42578125" style="1" bestFit="1" customWidth="1"/>
    <col min="14" max="14" width="10.7109375" bestFit="1" customWidth="1"/>
    <col min="15" max="15" width="0.85546875" customWidth="1"/>
    <col min="16" max="16" width="8.5703125" bestFit="1" customWidth="1"/>
    <col min="17" max="17" width="0.42578125" customWidth="1"/>
    <col min="18" max="18" width="17" bestFit="1" customWidth="1"/>
    <col min="19" max="19" width="0.85546875" customWidth="1"/>
    <col min="20" max="20" width="30.140625" customWidth="1"/>
  </cols>
  <sheetData>
    <row r="1" spans="1:20" ht="15.75" thickBot="1" x14ac:dyDescent="0.3">
      <c r="A1" s="53"/>
      <c r="N1" s="4"/>
      <c r="O1" s="22">
        <f>N4+'TL2'!N4</f>
        <v>382600</v>
      </c>
      <c r="Q1" s="22"/>
      <c r="S1" s="22"/>
    </row>
    <row r="2" spans="1:20" ht="14.45" customHeight="1" x14ac:dyDescent="0.25">
      <c r="A2" s="86" t="s">
        <v>35</v>
      </c>
      <c r="B2" s="38" t="s">
        <v>33</v>
      </c>
      <c r="C2" s="38" t="s">
        <v>33</v>
      </c>
      <c r="D2" s="38" t="s">
        <v>33</v>
      </c>
      <c r="E2" s="38" t="s">
        <v>33</v>
      </c>
      <c r="F2" s="38" t="s">
        <v>33</v>
      </c>
      <c r="G2" s="38" t="s">
        <v>33</v>
      </c>
      <c r="H2" s="38" t="s">
        <v>33</v>
      </c>
      <c r="I2" s="38" t="s">
        <v>33</v>
      </c>
      <c r="J2" s="38" t="s">
        <v>33</v>
      </c>
      <c r="K2" s="38" t="s">
        <v>33</v>
      </c>
      <c r="L2" s="38" t="s">
        <v>33</v>
      </c>
      <c r="M2" s="38" t="s">
        <v>33</v>
      </c>
      <c r="N2" s="47" t="s">
        <v>33</v>
      </c>
      <c r="P2" s="39" t="s">
        <v>26</v>
      </c>
      <c r="R2" s="75" t="s">
        <v>27</v>
      </c>
      <c r="T2" s="77" t="s">
        <v>22</v>
      </c>
    </row>
    <row r="3" spans="1:20" x14ac:dyDescent="0.25">
      <c r="A3" s="86"/>
      <c r="B3" s="28" t="s">
        <v>5</v>
      </c>
      <c r="C3" s="28" t="s">
        <v>6</v>
      </c>
      <c r="D3" s="28" t="s">
        <v>7</v>
      </c>
      <c r="E3" s="28" t="s">
        <v>8</v>
      </c>
      <c r="F3" s="28" t="s">
        <v>9</v>
      </c>
      <c r="G3" s="28" t="s">
        <v>10</v>
      </c>
      <c r="H3" s="28" t="s">
        <v>11</v>
      </c>
      <c r="I3" s="28" t="s">
        <v>12</v>
      </c>
      <c r="J3" s="28" t="s">
        <v>13</v>
      </c>
      <c r="K3" s="28" t="s">
        <v>14</v>
      </c>
      <c r="L3" s="28" t="s">
        <v>15</v>
      </c>
      <c r="M3" s="43" t="s">
        <v>16</v>
      </c>
      <c r="N3" s="48" t="s">
        <v>21</v>
      </c>
      <c r="P3" s="40" t="s">
        <v>21</v>
      </c>
      <c r="R3" s="76"/>
      <c r="T3" s="78"/>
    </row>
    <row r="4" spans="1:20" x14ac:dyDescent="0.25">
      <c r="A4" s="25" t="s">
        <v>0</v>
      </c>
      <c r="B4" s="26">
        <f>[2]Produções!C88</f>
        <v>10705</v>
      </c>
      <c r="C4" s="26">
        <f>[2]Produções!D88</f>
        <v>9616</v>
      </c>
      <c r="D4" s="26">
        <f>[2]Produções!E88</f>
        <v>10705</v>
      </c>
      <c r="E4" s="26">
        <f>[2]Produções!F88</f>
        <v>10342</v>
      </c>
      <c r="F4" s="26">
        <f>[2]Produções!G88</f>
        <v>10705</v>
      </c>
      <c r="G4" s="26">
        <f>[2]Produções!H88</f>
        <v>17237</v>
      </c>
      <c r="H4" s="26">
        <f>[2]Produções!I88</f>
        <v>17842</v>
      </c>
      <c r="I4" s="26">
        <f>[2]Produções!J88</f>
        <v>17842</v>
      </c>
      <c r="J4" s="26">
        <f>[2]Produções!K88</f>
        <v>24132</v>
      </c>
      <c r="K4" s="26">
        <f>[2]Produções!L88</f>
        <v>24978</v>
      </c>
      <c r="L4" s="26">
        <f>[2]Produções!M88</f>
        <v>24132</v>
      </c>
      <c r="M4" s="26">
        <f>[2]Produções!N88</f>
        <v>13064</v>
      </c>
      <c r="N4" s="49">
        <f>SUM(B4:M4)</f>
        <v>191300</v>
      </c>
      <c r="P4" s="42">
        <f>[3]TL2!$N4</f>
        <v>15010</v>
      </c>
      <c r="R4" s="36">
        <f>N4-P4</f>
        <v>176290</v>
      </c>
      <c r="T4" s="29"/>
    </row>
    <row r="5" spans="1:20" x14ac:dyDescent="0.25">
      <c r="A5" s="25" t="s">
        <v>1</v>
      </c>
      <c r="B5" s="35">
        <v>94.8</v>
      </c>
      <c r="C5" s="35">
        <v>94.8</v>
      </c>
      <c r="D5" s="35">
        <v>94.8</v>
      </c>
      <c r="E5" s="35">
        <v>94.8</v>
      </c>
      <c r="F5" s="35">
        <v>95</v>
      </c>
      <c r="G5" s="35">
        <v>95</v>
      </c>
      <c r="H5" s="35">
        <v>95</v>
      </c>
      <c r="I5" s="35">
        <v>95</v>
      </c>
      <c r="J5" s="35">
        <v>95.8</v>
      </c>
      <c r="K5" s="35">
        <v>95.8</v>
      </c>
      <c r="L5" s="35">
        <v>95.8</v>
      </c>
      <c r="M5" s="45">
        <v>95.8</v>
      </c>
      <c r="N5" s="50">
        <f>SUMPRODUCT($B$4:$M$4,B5:M5)/$N$4</f>
        <v>95.317674856246725</v>
      </c>
      <c r="P5" s="41">
        <f>[3]TL2!$N5</f>
        <v>93.670886075949369</v>
      </c>
      <c r="R5" s="36">
        <f>N5-P5</f>
        <v>1.6467887802973564</v>
      </c>
      <c r="T5" s="29"/>
    </row>
    <row r="6" spans="1:20" x14ac:dyDescent="0.25">
      <c r="A6" s="25" t="s">
        <v>2</v>
      </c>
      <c r="B6" s="35">
        <v>95</v>
      </c>
      <c r="C6" s="35">
        <v>97</v>
      </c>
      <c r="D6" s="35">
        <v>95</v>
      </c>
      <c r="E6" s="35">
        <v>96</v>
      </c>
      <c r="F6" s="35">
        <v>95</v>
      </c>
      <c r="G6" s="35">
        <v>87</v>
      </c>
      <c r="H6" s="35">
        <v>86</v>
      </c>
      <c r="I6" s="35">
        <v>86</v>
      </c>
      <c r="J6" s="35">
        <v>77</v>
      </c>
      <c r="K6" s="35">
        <v>75</v>
      </c>
      <c r="L6" s="35">
        <v>75</v>
      </c>
      <c r="M6" s="45">
        <v>75</v>
      </c>
      <c r="N6" s="50">
        <f>SUMPRODUCT($B$4:$M$4,B6:M6)/$N$4</f>
        <v>83.98414009409305</v>
      </c>
      <c r="P6" s="41">
        <f>[3]TL2!$N6</f>
        <v>100.00639819453697</v>
      </c>
      <c r="R6" s="36">
        <f>N6-P6</f>
        <v>-16.022258100443921</v>
      </c>
      <c r="T6" s="29"/>
    </row>
    <row r="7" spans="1:20" x14ac:dyDescent="0.25">
      <c r="A7" s="25" t="s">
        <v>3</v>
      </c>
      <c r="B7" s="35">
        <v>48</v>
      </c>
      <c r="C7" s="35">
        <v>48</v>
      </c>
      <c r="D7" s="35">
        <v>47</v>
      </c>
      <c r="E7" s="35">
        <v>47</v>
      </c>
      <c r="F7" s="35">
        <v>47</v>
      </c>
      <c r="G7" s="35">
        <v>44</v>
      </c>
      <c r="H7" s="35">
        <v>44</v>
      </c>
      <c r="I7" s="35">
        <v>44</v>
      </c>
      <c r="J7" s="35">
        <v>41</v>
      </c>
      <c r="K7" s="35">
        <v>41</v>
      </c>
      <c r="L7" s="35">
        <v>41</v>
      </c>
      <c r="M7" s="45">
        <v>44</v>
      </c>
      <c r="N7" s="50">
        <f>SUMPRODUCT($B$4:$M$4,B7:M7)/$N$4</f>
        <v>43.774249869315213</v>
      </c>
      <c r="P7" s="41">
        <f>[3]TL2!$N7</f>
        <v>72.418387741505668</v>
      </c>
      <c r="R7" s="36">
        <f>N7-P7</f>
        <v>-28.644137872190456</v>
      </c>
      <c r="T7" s="29"/>
    </row>
    <row r="8" spans="1:20" ht="15.75" thickBot="1" x14ac:dyDescent="0.3">
      <c r="A8" s="25" t="s">
        <v>4</v>
      </c>
      <c r="B8" s="37">
        <v>-39.1</v>
      </c>
      <c r="C8" s="37">
        <v>-39.1</v>
      </c>
      <c r="D8" s="37">
        <v>-39.1</v>
      </c>
      <c r="E8" s="37">
        <v>-39.1</v>
      </c>
      <c r="F8" s="37">
        <v>-36.9</v>
      </c>
      <c r="G8" s="37">
        <v>-36.9</v>
      </c>
      <c r="H8" s="37">
        <v>-36.9</v>
      </c>
      <c r="I8" s="37">
        <v>-36.9</v>
      </c>
      <c r="J8" s="37">
        <v>-30</v>
      </c>
      <c r="K8" s="37">
        <v>-29.8</v>
      </c>
      <c r="L8" s="37">
        <v>-29.8</v>
      </c>
      <c r="M8" s="37">
        <v>-29.8</v>
      </c>
      <c r="N8" s="51">
        <f>SUMPRODUCT($B$4:$M$4,B8:M8)/$N$4</f>
        <v>-34.197769994772607</v>
      </c>
      <c r="P8" s="41">
        <f>[3]TL2!$N8</f>
        <v>-62.328447701532312</v>
      </c>
      <c r="R8" s="36">
        <f>N8-P8</f>
        <v>28.130677706759705</v>
      </c>
      <c r="T8" s="29"/>
    </row>
    <row r="9" spans="1:20" x14ac:dyDescent="0.25">
      <c r="A9" s="85"/>
      <c r="B9" s="85"/>
      <c r="C9" s="85"/>
      <c r="D9" s="85"/>
      <c r="E9" s="85"/>
      <c r="F9" s="85"/>
    </row>
    <row r="10" spans="1:20" ht="14.45" hidden="1" customHeight="1" x14ac:dyDescent="0.25">
      <c r="B10" s="3">
        <f>B4/B5%</f>
        <v>11292.194092827005</v>
      </c>
      <c r="C10" s="3">
        <f t="shared" ref="C10:P10" si="0">C4/C5%</f>
        <v>10143.459915611815</v>
      </c>
      <c r="D10" s="3">
        <f t="shared" si="0"/>
        <v>11292.194092827005</v>
      </c>
      <c r="E10" s="3">
        <f t="shared" si="0"/>
        <v>10909.282700421942</v>
      </c>
      <c r="F10" s="3">
        <f t="shared" si="0"/>
        <v>11268.42105263158</v>
      </c>
      <c r="G10" s="3">
        <f t="shared" si="0"/>
        <v>18144.21052631579</v>
      </c>
      <c r="H10" s="3">
        <f t="shared" si="0"/>
        <v>18781.052631578947</v>
      </c>
      <c r="I10" s="3">
        <f t="shared" si="0"/>
        <v>18781.052631578947</v>
      </c>
      <c r="J10" s="3">
        <f t="shared" si="0"/>
        <v>25189.979123173278</v>
      </c>
      <c r="K10" s="3">
        <f t="shared" si="0"/>
        <v>26073.068893528183</v>
      </c>
      <c r="L10" s="3">
        <f t="shared" si="0"/>
        <v>25189.979123173278</v>
      </c>
      <c r="M10" s="3">
        <f t="shared" si="0"/>
        <v>13636.743215031316</v>
      </c>
      <c r="N10" s="3">
        <f t="shared" si="0"/>
        <v>200697.30014764727</v>
      </c>
      <c r="O10" s="3">
        <f>P4/P5%</f>
        <v>16024.18918918919</v>
      </c>
      <c r="P10">
        <f t="shared" si="0"/>
        <v>16024.18918918919</v>
      </c>
      <c r="Q10" s="3"/>
      <c r="S10" s="3"/>
    </row>
    <row r="11" spans="1:20" ht="14.45" hidden="1" customHeight="1" x14ac:dyDescent="0.25">
      <c r="B11" s="3">
        <f>B8*B4/1000</f>
        <v>-418.56549999999999</v>
      </c>
      <c r="C11" s="3">
        <f t="shared" ref="C11:P11" si="1">C8*C4/1000</f>
        <v>-375.98560000000003</v>
      </c>
      <c r="D11" s="3">
        <f t="shared" si="1"/>
        <v>-418.56549999999999</v>
      </c>
      <c r="E11" s="3">
        <f t="shared" si="1"/>
        <v>-404.37220000000002</v>
      </c>
      <c r="F11" s="3">
        <f t="shared" si="1"/>
        <v>-395.0145</v>
      </c>
      <c r="G11" s="3">
        <f t="shared" si="1"/>
        <v>-636.04529999999988</v>
      </c>
      <c r="H11" s="3">
        <f t="shared" si="1"/>
        <v>-658.36979999999994</v>
      </c>
      <c r="I11" s="3">
        <f t="shared" si="1"/>
        <v>-658.36979999999994</v>
      </c>
      <c r="J11" s="3">
        <f t="shared" si="1"/>
        <v>-723.96</v>
      </c>
      <c r="K11" s="3">
        <f t="shared" si="1"/>
        <v>-744.34440000000006</v>
      </c>
      <c r="L11" s="3">
        <f t="shared" si="1"/>
        <v>-719.1336</v>
      </c>
      <c r="M11" s="3">
        <f t="shared" si="1"/>
        <v>-389.30720000000002</v>
      </c>
      <c r="N11" s="3">
        <f t="shared" si="1"/>
        <v>-6542.0333999999993</v>
      </c>
      <c r="O11" s="3">
        <f>P8*P4/1000</f>
        <v>-935.55</v>
      </c>
      <c r="P11">
        <f t="shared" si="1"/>
        <v>-935.55</v>
      </c>
      <c r="Q11" s="3"/>
      <c r="S11" s="3"/>
    </row>
    <row r="12" spans="1:20" ht="14.45" hidden="1" customHeight="1" x14ac:dyDescent="0.25">
      <c r="B12" s="3">
        <f>B10-B4+B11</f>
        <v>168.62859282700509</v>
      </c>
      <c r="C12" s="3">
        <f t="shared" ref="C12:P12" si="2">C10-C4+C11</f>
        <v>151.47431561181469</v>
      </c>
      <c r="D12" s="3">
        <f t="shared" si="2"/>
        <v>168.62859282700509</v>
      </c>
      <c r="E12" s="3">
        <f t="shared" si="2"/>
        <v>162.91050042194161</v>
      </c>
      <c r="F12" s="3">
        <f t="shared" si="2"/>
        <v>168.4065526315801</v>
      </c>
      <c r="G12" s="3">
        <f t="shared" si="2"/>
        <v>271.16522631579016</v>
      </c>
      <c r="H12" s="3">
        <f t="shared" si="2"/>
        <v>280.68283157894666</v>
      </c>
      <c r="I12" s="3">
        <f t="shared" si="2"/>
        <v>280.68283157894666</v>
      </c>
      <c r="J12" s="3">
        <f t="shared" si="2"/>
        <v>334.01912317327788</v>
      </c>
      <c r="K12" s="3">
        <f t="shared" si="2"/>
        <v>350.72449352818319</v>
      </c>
      <c r="L12" s="3">
        <f t="shared" si="2"/>
        <v>338.84552317327791</v>
      </c>
      <c r="M12" s="3">
        <f t="shared" si="2"/>
        <v>183.43601503131612</v>
      </c>
      <c r="N12" s="3">
        <f t="shared" si="2"/>
        <v>2855.2667476472716</v>
      </c>
      <c r="O12" s="3">
        <f>O10-P4+O11</f>
        <v>78.63918918919012</v>
      </c>
      <c r="P12">
        <f t="shared" si="2"/>
        <v>78.63918918919012</v>
      </c>
      <c r="Q12" s="3"/>
      <c r="S12" s="3"/>
    </row>
    <row r="13" spans="1:20" ht="14.45" hidden="1" customHeight="1" x14ac:dyDescent="0.25">
      <c r="A13" t="s">
        <v>17</v>
      </c>
      <c r="B13" s="2">
        <f>B12/B10</f>
        <v>1.4933200000000077E-2</v>
      </c>
      <c r="C13" s="2">
        <f t="shared" ref="C13:P13" si="3">C12/C10</f>
        <v>1.4933200000000034E-2</v>
      </c>
      <c r="D13" s="2">
        <f t="shared" si="3"/>
        <v>1.4933200000000077E-2</v>
      </c>
      <c r="E13" s="2">
        <f t="shared" si="3"/>
        <v>1.4933200000000061E-2</v>
      </c>
      <c r="F13" s="2">
        <f t="shared" si="3"/>
        <v>1.4945000000000101E-2</v>
      </c>
      <c r="G13" s="2">
        <f t="shared" si="3"/>
        <v>1.4945000000000038E-2</v>
      </c>
      <c r="H13" s="2">
        <f t="shared" si="3"/>
        <v>1.4944999999999964E-2</v>
      </c>
      <c r="I13" s="2">
        <f t="shared" si="3"/>
        <v>1.4944999999999964E-2</v>
      </c>
      <c r="J13" s="2">
        <f t="shared" si="3"/>
        <v>1.3260000000000008E-2</v>
      </c>
      <c r="K13" s="2">
        <f t="shared" si="3"/>
        <v>1.345159999999998E-2</v>
      </c>
      <c r="L13" s="2">
        <f t="shared" si="3"/>
        <v>1.345160000000001E-2</v>
      </c>
      <c r="M13" s="2">
        <f t="shared" si="3"/>
        <v>1.3451600000000064E-2</v>
      </c>
      <c r="N13" s="2">
        <f t="shared" si="3"/>
        <v>1.4226732225828317E-2</v>
      </c>
      <c r="O13" s="2">
        <f t="shared" si="3"/>
        <v>4.9075300010963732E-3</v>
      </c>
      <c r="P13">
        <f t="shared" si="3"/>
        <v>4.9075300010963732E-3</v>
      </c>
      <c r="Q13" s="2"/>
      <c r="S13" s="2"/>
    </row>
    <row r="15" spans="1:20" ht="15.75" thickBot="1" x14ac:dyDescent="0.3">
      <c r="A15" s="58" t="s">
        <v>37</v>
      </c>
    </row>
    <row r="16" spans="1:20" x14ac:dyDescent="0.25">
      <c r="A16" s="71" t="s">
        <v>30</v>
      </c>
      <c r="B16" s="5" t="s">
        <v>18</v>
      </c>
      <c r="C16" s="5" t="str">
        <f>B16</f>
        <v>Real</v>
      </c>
      <c r="D16" s="5" t="str">
        <f t="shared" ref="D16:F16" si="4">C16</f>
        <v>Real</v>
      </c>
      <c r="E16" s="5" t="str">
        <f t="shared" si="4"/>
        <v>Real</v>
      </c>
      <c r="F16" s="5" t="str">
        <f t="shared" si="4"/>
        <v>Real</v>
      </c>
      <c r="G16" s="5" t="s">
        <v>18</v>
      </c>
      <c r="H16" s="5" t="s">
        <v>18</v>
      </c>
      <c r="I16" s="5" t="s">
        <v>18</v>
      </c>
      <c r="J16" s="5" t="str">
        <f t="shared" ref="J16:M16" si="5">I16</f>
        <v>Real</v>
      </c>
      <c r="K16" s="5" t="s">
        <v>26</v>
      </c>
      <c r="L16" s="5" t="str">
        <f t="shared" si="5"/>
        <v>MRF10</v>
      </c>
      <c r="M16" s="5" t="str">
        <f t="shared" si="5"/>
        <v>MRF10</v>
      </c>
      <c r="N16" s="83" t="s">
        <v>26</v>
      </c>
    </row>
    <row r="17" spans="1:14" ht="15.75" thickBot="1" x14ac:dyDescent="0.3">
      <c r="A17" s="72"/>
      <c r="B17" s="6" t="s">
        <v>5</v>
      </c>
      <c r="C17" s="6" t="s">
        <v>6</v>
      </c>
      <c r="D17" s="6" t="s">
        <v>7</v>
      </c>
      <c r="E17" s="6" t="s">
        <v>8</v>
      </c>
      <c r="F17" s="6" t="s">
        <v>9</v>
      </c>
      <c r="G17" s="6" t="s">
        <v>10</v>
      </c>
      <c r="H17" s="6" t="s">
        <v>11</v>
      </c>
      <c r="I17" s="6" t="s">
        <v>12</v>
      </c>
      <c r="J17" s="6" t="s">
        <v>13</v>
      </c>
      <c r="K17" s="6" t="s">
        <v>14</v>
      </c>
      <c r="L17" s="6" t="s">
        <v>15</v>
      </c>
      <c r="M17" s="6" t="s">
        <v>16</v>
      </c>
      <c r="N17" s="84"/>
    </row>
    <row r="18" spans="1:14" x14ac:dyDescent="0.25">
      <c r="A18" s="7" t="s">
        <v>0</v>
      </c>
      <c r="B18" s="8">
        <v>1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9">
        <v>1</v>
      </c>
      <c r="L18" s="9">
        <v>5000</v>
      </c>
      <c r="M18" s="9">
        <v>10000</v>
      </c>
      <c r="N18" s="10">
        <f>SUM(B18:M18)</f>
        <v>15010</v>
      </c>
    </row>
    <row r="19" spans="1:14" x14ac:dyDescent="0.25">
      <c r="A19" s="11" t="s">
        <v>1</v>
      </c>
      <c r="B19" s="12">
        <v>100</v>
      </c>
      <c r="C19" s="12">
        <v>100</v>
      </c>
      <c r="D19" s="12">
        <v>100</v>
      </c>
      <c r="E19" s="12">
        <v>100</v>
      </c>
      <c r="F19" s="12">
        <v>100</v>
      </c>
      <c r="G19" s="12">
        <v>100</v>
      </c>
      <c r="H19" s="12">
        <v>100</v>
      </c>
      <c r="I19" s="12">
        <v>100</v>
      </c>
      <c r="J19" s="12">
        <v>100</v>
      </c>
      <c r="K19" s="13">
        <v>100</v>
      </c>
      <c r="L19" s="13">
        <v>93</v>
      </c>
      <c r="M19" s="13">
        <v>94</v>
      </c>
      <c r="N19" s="14">
        <f>SUMPRODUCT($B$18:$M$18,B19:M19)/$N$18</f>
        <v>93.670886075949369</v>
      </c>
    </row>
    <row r="20" spans="1:14" x14ac:dyDescent="0.25">
      <c r="A20" s="11" t="s">
        <v>2</v>
      </c>
      <c r="B20" s="12"/>
      <c r="C20" s="12"/>
      <c r="D20" s="12"/>
      <c r="E20" s="12"/>
      <c r="F20" s="12"/>
      <c r="G20" s="12"/>
      <c r="H20" s="12"/>
      <c r="I20" s="12">
        <v>327.12129999999996</v>
      </c>
      <c r="J20" s="12">
        <v>437.91560000000004</v>
      </c>
      <c r="K20" s="13">
        <v>331</v>
      </c>
      <c r="L20" s="13">
        <v>110</v>
      </c>
      <c r="M20" s="13">
        <v>95</v>
      </c>
      <c r="N20" s="14">
        <f t="shared" ref="N20:N22" si="6">SUMPRODUCT($B$18:$M$18,B20:M20)/$N$18</f>
        <v>100.00639819453697</v>
      </c>
    </row>
    <row r="21" spans="1:14" x14ac:dyDescent="0.25">
      <c r="A21" s="15" t="s">
        <v>3</v>
      </c>
      <c r="B21" s="16"/>
      <c r="C21" s="16"/>
      <c r="D21" s="16"/>
      <c r="E21" s="16"/>
      <c r="F21" s="16"/>
      <c r="G21" s="16"/>
      <c r="H21" s="16"/>
      <c r="I21" s="16"/>
      <c r="J21" s="16"/>
      <c r="K21" s="18">
        <v>237000</v>
      </c>
      <c r="L21" s="17">
        <v>62</v>
      </c>
      <c r="M21" s="17">
        <v>54</v>
      </c>
      <c r="N21" s="14">
        <f t="shared" si="6"/>
        <v>72.418387741505668</v>
      </c>
    </row>
    <row r="22" spans="1:14" ht="15.75" thickBot="1" x14ac:dyDescent="0.3">
      <c r="A22" s="19" t="s">
        <v>4</v>
      </c>
      <c r="B22" s="20"/>
      <c r="C22" s="20"/>
      <c r="D22" s="20"/>
      <c r="E22" s="20"/>
      <c r="F22" s="20"/>
      <c r="G22" s="20"/>
      <c r="H22" s="20"/>
      <c r="I22" s="20"/>
      <c r="J22" s="20"/>
      <c r="K22" s="21"/>
      <c r="L22" s="21">
        <v>-62.37</v>
      </c>
      <c r="M22" s="21">
        <v>-62.37</v>
      </c>
      <c r="N22" s="14">
        <f t="shared" si="6"/>
        <v>-62.328447701532312</v>
      </c>
    </row>
    <row r="23" spans="1:14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6"/>
      <c r="M23" s="56"/>
      <c r="N23" s="57"/>
    </row>
    <row r="24" spans="1:14" ht="15.75" thickBot="1" x14ac:dyDescent="0.3">
      <c r="A24" s="58" t="s">
        <v>37</v>
      </c>
    </row>
    <row r="25" spans="1:14" x14ac:dyDescent="0.25">
      <c r="A25" s="71" t="s">
        <v>31</v>
      </c>
      <c r="B25" s="5" t="s">
        <v>28</v>
      </c>
      <c r="C25" s="5" t="s">
        <v>28</v>
      </c>
      <c r="D25" s="5" t="s">
        <v>28</v>
      </c>
      <c r="E25" s="5" t="s">
        <v>28</v>
      </c>
      <c r="F25" s="5" t="s">
        <v>28</v>
      </c>
      <c r="G25" s="5" t="s">
        <v>28</v>
      </c>
      <c r="H25" s="5" t="s">
        <v>28</v>
      </c>
      <c r="I25" s="5" t="s">
        <v>28</v>
      </c>
      <c r="J25" s="5" t="s">
        <v>28</v>
      </c>
      <c r="K25" s="5" t="s">
        <v>28</v>
      </c>
      <c r="L25" s="5" t="s">
        <v>28</v>
      </c>
      <c r="M25" s="5" t="s">
        <v>28</v>
      </c>
      <c r="N25" s="83" t="s">
        <v>28</v>
      </c>
    </row>
    <row r="26" spans="1:14" ht="15.75" thickBot="1" x14ac:dyDescent="0.3">
      <c r="A26" s="72"/>
      <c r="B26" s="6" t="s">
        <v>5</v>
      </c>
      <c r="C26" s="6" t="s">
        <v>6</v>
      </c>
      <c r="D26" s="6" t="s">
        <v>7</v>
      </c>
      <c r="E26" s="6" t="s">
        <v>8</v>
      </c>
      <c r="F26" s="6" t="s">
        <v>9</v>
      </c>
      <c r="G26" s="6" t="s">
        <v>10</v>
      </c>
      <c r="H26" s="6" t="s">
        <v>11</v>
      </c>
      <c r="I26" s="6" t="s">
        <v>12</v>
      </c>
      <c r="J26" s="6" t="s">
        <v>13</v>
      </c>
      <c r="K26" s="6" t="s">
        <v>14</v>
      </c>
      <c r="L26" s="6" t="s">
        <v>15</v>
      </c>
      <c r="M26" s="6" t="s">
        <v>16</v>
      </c>
      <c r="N26" s="84" t="s">
        <v>21</v>
      </c>
    </row>
    <row r="27" spans="1:14" x14ac:dyDescent="0.25">
      <c r="A27" s="7" t="s">
        <v>0</v>
      </c>
      <c r="B27" s="26">
        <v>10705</v>
      </c>
      <c r="C27" s="26">
        <v>9616</v>
      </c>
      <c r="D27" s="26">
        <v>10705</v>
      </c>
      <c r="E27" s="26">
        <v>10342</v>
      </c>
      <c r="F27" s="26">
        <v>10705</v>
      </c>
      <c r="G27" s="26">
        <v>17237</v>
      </c>
      <c r="H27" s="26">
        <v>17842</v>
      </c>
      <c r="I27" s="26">
        <v>17842</v>
      </c>
      <c r="J27" s="26">
        <v>24132</v>
      </c>
      <c r="K27" s="26">
        <v>24978</v>
      </c>
      <c r="L27" s="26">
        <v>24132</v>
      </c>
      <c r="M27" s="44">
        <v>13064</v>
      </c>
      <c r="N27" s="10">
        <f>SUM(B27:M27)</f>
        <v>191300</v>
      </c>
    </row>
    <row r="28" spans="1:14" x14ac:dyDescent="0.25">
      <c r="A28" s="11" t="s">
        <v>1</v>
      </c>
      <c r="B28" s="35">
        <v>94.8</v>
      </c>
      <c r="C28" s="35">
        <v>94.8</v>
      </c>
      <c r="D28" s="35">
        <v>94.8</v>
      </c>
      <c r="E28" s="35">
        <v>94.8</v>
      </c>
      <c r="F28" s="35">
        <v>95</v>
      </c>
      <c r="G28" s="35">
        <v>95</v>
      </c>
      <c r="H28" s="35">
        <v>95</v>
      </c>
      <c r="I28" s="35">
        <v>95</v>
      </c>
      <c r="J28" s="35">
        <v>95.8</v>
      </c>
      <c r="K28" s="35">
        <v>95.8</v>
      </c>
      <c r="L28" s="35">
        <v>95.8</v>
      </c>
      <c r="M28" s="45">
        <v>95.8</v>
      </c>
      <c r="N28" s="14">
        <f>SUMPRODUCT($B$4:$M$4,B28:M28)/$N$4</f>
        <v>95.317674856246725</v>
      </c>
    </row>
    <row r="29" spans="1:14" x14ac:dyDescent="0.25">
      <c r="A29" s="11" t="s">
        <v>2</v>
      </c>
      <c r="B29" s="35">
        <v>95</v>
      </c>
      <c r="C29" s="35">
        <v>97</v>
      </c>
      <c r="D29" s="35">
        <v>95</v>
      </c>
      <c r="E29" s="35">
        <v>96</v>
      </c>
      <c r="F29" s="35">
        <v>95</v>
      </c>
      <c r="G29" s="35">
        <v>87</v>
      </c>
      <c r="H29" s="35">
        <v>86</v>
      </c>
      <c r="I29" s="35">
        <v>86</v>
      </c>
      <c r="J29" s="35">
        <v>77</v>
      </c>
      <c r="K29" s="35">
        <v>76</v>
      </c>
      <c r="L29" s="35">
        <v>77</v>
      </c>
      <c r="M29" s="45">
        <v>90</v>
      </c>
      <c r="N29" s="14">
        <f>SUMPRODUCT($B$4:$M$4,B29:M29)/$N$4</f>
        <v>85.391364349189757</v>
      </c>
    </row>
    <row r="30" spans="1:14" x14ac:dyDescent="0.25">
      <c r="A30" s="15" t="s">
        <v>3</v>
      </c>
      <c r="B30" s="35">
        <v>47</v>
      </c>
      <c r="C30" s="35">
        <v>48</v>
      </c>
      <c r="D30" s="35">
        <v>47</v>
      </c>
      <c r="E30" s="35">
        <v>47.4</v>
      </c>
      <c r="F30" s="35">
        <v>47</v>
      </c>
      <c r="G30" s="35">
        <v>44.3</v>
      </c>
      <c r="H30" s="35">
        <v>44.3</v>
      </c>
      <c r="I30" s="35">
        <v>44.3</v>
      </c>
      <c r="J30" s="35">
        <v>44</v>
      </c>
      <c r="K30" s="35">
        <v>44</v>
      </c>
      <c r="L30" s="35">
        <v>44</v>
      </c>
      <c r="M30" s="45">
        <v>46</v>
      </c>
      <c r="N30" s="14">
        <f>SUMPRODUCT($B$4:$M$4,B30:M30)/$N$4</f>
        <v>45.108082070047047</v>
      </c>
    </row>
    <row r="31" spans="1:14" ht="15.75" thickBot="1" x14ac:dyDescent="0.3">
      <c r="A31" s="19" t="s">
        <v>4</v>
      </c>
      <c r="B31" s="37">
        <v>-39.03</v>
      </c>
      <c r="C31" s="37">
        <v>-39.03</v>
      </c>
      <c r="D31" s="37">
        <v>-39.03</v>
      </c>
      <c r="E31" s="37">
        <v>-39.03</v>
      </c>
      <c r="F31" s="37">
        <v>-36.840000000000003</v>
      </c>
      <c r="G31" s="37">
        <v>-36.840000000000003</v>
      </c>
      <c r="H31" s="37">
        <v>-36.840000000000003</v>
      </c>
      <c r="I31" s="37">
        <v>-36.840000000000003</v>
      </c>
      <c r="J31" s="37">
        <v>-28.28</v>
      </c>
      <c r="K31" s="37">
        <v>-28.28</v>
      </c>
      <c r="L31" s="37">
        <v>-28.28</v>
      </c>
      <c r="M31" s="46">
        <v>-28.28</v>
      </c>
      <c r="N31" s="14">
        <f>SUMPRODUCT($B$4:$M$4,B31:M31)/$N$4</f>
        <v>-33.451691374803978</v>
      </c>
    </row>
  </sheetData>
  <mergeCells count="8">
    <mergeCell ref="A25:A26"/>
    <mergeCell ref="N25:N26"/>
    <mergeCell ref="R2:R3"/>
    <mergeCell ref="T2:T3"/>
    <mergeCell ref="A16:A17"/>
    <mergeCell ref="N16:N17"/>
    <mergeCell ref="A9:F9"/>
    <mergeCell ref="A2:A3"/>
  </mergeCells>
  <conditionalFormatting sqref="R4:R5">
    <cfRule type="cellIs" dxfId="3" priority="7" operator="lessThan">
      <formula>0</formula>
    </cfRule>
    <cfRule type="cellIs" dxfId="2" priority="8" operator="greaterThan">
      <formula>0</formula>
    </cfRule>
  </conditionalFormatting>
  <conditionalFormatting sqref="R6:R8">
    <cfRule type="cellIs" dxfId="1" priority="1" operator="greaterThan">
      <formula>0</formula>
    </cfRule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9DF-6921-4220-928E-8E8B64FA6AE9}">
  <dimension ref="A1"/>
  <sheetViews>
    <sheetView workbookViewId="0">
      <selection activeCell="I7" sqref="I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50D2-47BE-4B07-9E42-000BF16E610C}">
  <dimension ref="B2:O12"/>
  <sheetViews>
    <sheetView showGridLines="0" zoomScale="90" zoomScaleNormal="90" workbookViewId="0">
      <selection activeCell="O4" sqref="O4"/>
    </sheetView>
  </sheetViews>
  <sheetFormatPr defaultRowHeight="15" x14ac:dyDescent="0.25"/>
  <cols>
    <col min="3" max="15" width="11.5703125" customWidth="1"/>
  </cols>
  <sheetData>
    <row r="2" spans="2:15" x14ac:dyDescent="0.25">
      <c r="C2" s="24" t="s">
        <v>33</v>
      </c>
      <c r="D2" s="24" t="s">
        <v>33</v>
      </c>
      <c r="E2" s="24" t="s">
        <v>33</v>
      </c>
      <c r="F2" s="24" t="s">
        <v>33</v>
      </c>
      <c r="G2" s="24" t="s">
        <v>33</v>
      </c>
      <c r="H2" s="24" t="s">
        <v>33</v>
      </c>
      <c r="I2" s="24" t="s">
        <v>33</v>
      </c>
      <c r="J2" s="24" t="s">
        <v>33</v>
      </c>
      <c r="K2" s="24" t="s">
        <v>33</v>
      </c>
      <c r="L2" s="24" t="s">
        <v>33</v>
      </c>
      <c r="M2" s="24" t="s">
        <v>33</v>
      </c>
      <c r="N2" s="24" t="s">
        <v>33</v>
      </c>
      <c r="O2" s="24" t="s">
        <v>36</v>
      </c>
    </row>
    <row r="3" spans="2:15" x14ac:dyDescent="0.25">
      <c r="C3" s="30" t="s">
        <v>5</v>
      </c>
      <c r="D3" s="30" t="s">
        <v>6</v>
      </c>
      <c r="E3" s="30" t="s">
        <v>7</v>
      </c>
      <c r="F3" s="30" t="s">
        <v>8</v>
      </c>
      <c r="G3" s="30" t="s">
        <v>9</v>
      </c>
      <c r="H3" s="30" t="s">
        <v>10</v>
      </c>
      <c r="I3" s="30" t="s">
        <v>11</v>
      </c>
      <c r="J3" s="30" t="s">
        <v>12</v>
      </c>
      <c r="K3" s="30" t="s">
        <v>13</v>
      </c>
      <c r="L3" s="30" t="s">
        <v>14</v>
      </c>
      <c r="M3" s="30" t="s">
        <v>15</v>
      </c>
      <c r="N3" s="30" t="s">
        <v>16</v>
      </c>
      <c r="O3" s="30" t="s">
        <v>21</v>
      </c>
    </row>
    <row r="4" spans="2:15" x14ac:dyDescent="0.25">
      <c r="B4" s="29" t="s">
        <v>20</v>
      </c>
      <c r="C4" s="32">
        <f>'TL1'!B4</f>
        <v>17118.27</v>
      </c>
      <c r="D4" s="32">
        <f>'TL1'!C4</f>
        <v>20400</v>
      </c>
      <c r="E4" s="32">
        <f>'TL1'!D4</f>
        <v>23000</v>
      </c>
      <c r="F4" s="32">
        <f>'TL1'!E4</f>
        <v>21800</v>
      </c>
      <c r="G4" s="32">
        <f>'TL1'!F4</f>
        <v>22299.999999999003</v>
      </c>
      <c r="H4" s="32">
        <f>'TL1'!G4</f>
        <v>11200.000000000997</v>
      </c>
      <c r="I4" s="32">
        <f>'TL1'!H4</f>
        <v>11400</v>
      </c>
      <c r="J4" s="32">
        <f>'TL1'!I4</f>
        <v>22500</v>
      </c>
      <c r="K4" s="32">
        <f>'TL1'!J4</f>
        <v>21500</v>
      </c>
      <c r="L4" s="32">
        <f>'TL1'!K4</f>
        <v>22000</v>
      </c>
      <c r="M4" s="32">
        <f>'TL1'!L4</f>
        <v>21300</v>
      </c>
      <c r="N4" s="32">
        <f>'TL1'!M4</f>
        <v>22000</v>
      </c>
      <c r="O4" s="32">
        <f>SUM(C4:N4)</f>
        <v>236518.27</v>
      </c>
    </row>
    <row r="5" spans="2:15" x14ac:dyDescent="0.25">
      <c r="B5" s="29" t="s">
        <v>19</v>
      </c>
      <c r="C5" s="32">
        <f>'TL2'!B4</f>
        <v>10705</v>
      </c>
      <c r="D5" s="32">
        <f>'TL2'!C4</f>
        <v>9616</v>
      </c>
      <c r="E5" s="32">
        <f>'TL2'!D4</f>
        <v>10705</v>
      </c>
      <c r="F5" s="32">
        <f>'TL2'!E4</f>
        <v>10342</v>
      </c>
      <c r="G5" s="32">
        <f>'TL2'!F4</f>
        <v>10705</v>
      </c>
      <c r="H5" s="32">
        <f>'TL2'!G4</f>
        <v>17237</v>
      </c>
      <c r="I5" s="32">
        <f>'TL2'!H4</f>
        <v>17842</v>
      </c>
      <c r="J5" s="32">
        <f>'TL2'!I4</f>
        <v>17842</v>
      </c>
      <c r="K5" s="32">
        <f>'TL2'!J4</f>
        <v>24132</v>
      </c>
      <c r="L5" s="32">
        <f>'TL2'!K4</f>
        <v>24978</v>
      </c>
      <c r="M5" s="32">
        <f>'TL2'!L4</f>
        <v>24132</v>
      </c>
      <c r="N5" s="32">
        <f>'TL2'!M4</f>
        <v>13064</v>
      </c>
      <c r="O5" s="32">
        <f>SUM(C5:N5)</f>
        <v>191300</v>
      </c>
    </row>
    <row r="6" spans="2:15" x14ac:dyDescent="0.25">
      <c r="B6" s="31" t="s">
        <v>23</v>
      </c>
      <c r="C6" s="33">
        <f>SUM(C4:C5)</f>
        <v>27823.27</v>
      </c>
      <c r="D6" s="33">
        <f t="shared" ref="D6:O6" si="0">SUM(D4:D5)</f>
        <v>30016</v>
      </c>
      <c r="E6" s="33">
        <f t="shared" si="0"/>
        <v>33705</v>
      </c>
      <c r="F6" s="33">
        <f t="shared" si="0"/>
        <v>32142</v>
      </c>
      <c r="G6" s="33">
        <f t="shared" si="0"/>
        <v>33004.999999999003</v>
      </c>
      <c r="H6" s="33">
        <f t="shared" si="0"/>
        <v>28437.000000000997</v>
      </c>
      <c r="I6" s="33">
        <f t="shared" si="0"/>
        <v>29242</v>
      </c>
      <c r="J6" s="33">
        <f t="shared" si="0"/>
        <v>40342</v>
      </c>
      <c r="K6" s="33">
        <f t="shared" si="0"/>
        <v>45632</v>
      </c>
      <c r="L6" s="33">
        <f t="shared" si="0"/>
        <v>46978</v>
      </c>
      <c r="M6" s="33">
        <f t="shared" si="0"/>
        <v>45432</v>
      </c>
      <c r="N6" s="33">
        <f t="shared" si="0"/>
        <v>35064</v>
      </c>
      <c r="O6" s="33">
        <f t="shared" si="0"/>
        <v>427818.27</v>
      </c>
    </row>
    <row r="9" spans="2:15" x14ac:dyDescent="0.25">
      <c r="C9" s="34" t="s">
        <v>25</v>
      </c>
    </row>
    <row r="10" spans="2:15" x14ac:dyDescent="0.25">
      <c r="C10" s="28" t="s">
        <v>5</v>
      </c>
      <c r="D10" s="28" t="s">
        <v>6</v>
      </c>
      <c r="E10" s="28" t="s">
        <v>7</v>
      </c>
      <c r="F10" s="28" t="s">
        <v>8</v>
      </c>
      <c r="G10" s="28" t="s">
        <v>9</v>
      </c>
      <c r="H10" s="28" t="s">
        <v>10</v>
      </c>
      <c r="I10" s="28" t="s">
        <v>11</v>
      </c>
      <c r="J10" s="28" t="s">
        <v>12</v>
      </c>
      <c r="K10" s="28" t="s">
        <v>13</v>
      </c>
      <c r="L10" s="28" t="s">
        <v>14</v>
      </c>
      <c r="M10" s="28" t="s">
        <v>15</v>
      </c>
      <c r="N10" s="28" t="s">
        <v>16</v>
      </c>
      <c r="O10" s="28" t="s">
        <v>21</v>
      </c>
    </row>
    <row r="11" spans="2:15" x14ac:dyDescent="0.25">
      <c r="B11" s="29" t="s">
        <v>24</v>
      </c>
      <c r="C11" s="32">
        <f>'[1]Produção 2026'!E35</f>
        <v>32705</v>
      </c>
      <c r="D11" s="32">
        <f>'[1]Produção 2026'!F35</f>
        <v>29516</v>
      </c>
      <c r="E11" s="32">
        <f>'[1]Produção 2026'!G35</f>
        <v>32705</v>
      </c>
      <c r="F11" s="32">
        <f>'[1]Produção 2026'!H35</f>
        <v>31642</v>
      </c>
      <c r="G11" s="32">
        <f>'[1]Produção 2026'!I35</f>
        <v>32705</v>
      </c>
      <c r="H11" s="32">
        <f>'[1]Produção 2026'!J35</f>
        <v>27937</v>
      </c>
      <c r="I11" s="32">
        <f>'[1]Produção 2026'!K35</f>
        <v>29242</v>
      </c>
      <c r="J11" s="32">
        <f>'[1]Produção 2026'!L35</f>
        <v>39842</v>
      </c>
      <c r="K11" s="32">
        <f>'[1]Produção 2026'!M35</f>
        <v>45432</v>
      </c>
      <c r="L11" s="32">
        <f>'[1]Produção 2026'!N35</f>
        <v>46978</v>
      </c>
      <c r="M11" s="32">
        <f>'[1]Produção 2026'!O35</f>
        <v>45432</v>
      </c>
      <c r="N11" s="32">
        <f>'[1]Produção 2026'!P35</f>
        <v>35064</v>
      </c>
      <c r="O11" s="32">
        <f>SUM(C11:N11)</f>
        <v>429200</v>
      </c>
    </row>
    <row r="12" spans="2:15" x14ac:dyDescent="0.25">
      <c r="C12" s="4">
        <f>C6-C11</f>
        <v>-4881.7299999999996</v>
      </c>
      <c r="D12" s="4">
        <f t="shared" ref="D12:N12" si="1">D6-D11</f>
        <v>500</v>
      </c>
      <c r="E12" s="4">
        <f t="shared" si="1"/>
        <v>1000</v>
      </c>
      <c r="F12" s="4">
        <f t="shared" si="1"/>
        <v>500</v>
      </c>
      <c r="G12" s="4">
        <f t="shared" si="1"/>
        <v>299.99999999900319</v>
      </c>
      <c r="H12" s="4">
        <f t="shared" si="1"/>
        <v>500.00000000099681</v>
      </c>
      <c r="I12" s="4">
        <f t="shared" si="1"/>
        <v>0</v>
      </c>
      <c r="J12" s="4">
        <f t="shared" si="1"/>
        <v>500</v>
      </c>
      <c r="K12" s="4">
        <f t="shared" si="1"/>
        <v>200</v>
      </c>
      <c r="L12" s="4">
        <f t="shared" si="1"/>
        <v>0</v>
      </c>
      <c r="M12" s="4">
        <f t="shared" si="1"/>
        <v>0</v>
      </c>
      <c r="N12" s="4">
        <f t="shared" si="1"/>
        <v>0</v>
      </c>
      <c r="O12" s="4">
        <f>O6-O11</f>
        <v>-1381.7299999999814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C199-29FB-4FAA-B9E9-43D6C7ACE69E}">
  <dimension ref="D3:Q17"/>
  <sheetViews>
    <sheetView showGridLines="0" zoomScale="80" zoomScaleNormal="80" workbookViewId="0">
      <selection activeCell="D16" sqref="D16"/>
    </sheetView>
  </sheetViews>
  <sheetFormatPr defaultRowHeight="15" x14ac:dyDescent="0.25"/>
  <cols>
    <col min="4" max="4" width="29.28515625" bestFit="1" customWidth="1"/>
    <col min="5" max="9" width="12.7109375" bestFit="1" customWidth="1"/>
    <col min="10" max="10" width="11.7109375" bestFit="1" customWidth="1"/>
    <col min="11" max="16" width="11.42578125" bestFit="1" customWidth="1"/>
    <col min="17" max="17" width="13.7109375" customWidth="1"/>
  </cols>
  <sheetData>
    <row r="3" spans="4:17" ht="26.1" customHeight="1" x14ac:dyDescent="0.25">
      <c r="D3" s="62"/>
      <c r="E3" s="69" t="s">
        <v>5</v>
      </c>
      <c r="F3" s="69" t="s">
        <v>6</v>
      </c>
      <c r="G3" s="69" t="s">
        <v>7</v>
      </c>
      <c r="H3" s="69" t="s">
        <v>8</v>
      </c>
      <c r="I3" s="69" t="s">
        <v>9</v>
      </c>
      <c r="J3" s="69" t="s">
        <v>10</v>
      </c>
      <c r="K3" s="69" t="s">
        <v>11</v>
      </c>
      <c r="L3" s="69" t="s">
        <v>12</v>
      </c>
      <c r="M3" s="69" t="s">
        <v>13</v>
      </c>
      <c r="N3" s="69" t="s">
        <v>14</v>
      </c>
      <c r="O3" s="69" t="s">
        <v>15</v>
      </c>
      <c r="P3" s="69" t="s">
        <v>16</v>
      </c>
      <c r="Q3" s="69">
        <v>2026</v>
      </c>
    </row>
    <row r="4" spans="4:17" ht="18.75" x14ac:dyDescent="0.25">
      <c r="D4" s="70" t="s">
        <v>0</v>
      </c>
      <c r="E4" s="64">
        <v>22000</v>
      </c>
      <c r="F4" s="64">
        <v>19900</v>
      </c>
      <c r="G4" s="64">
        <v>22000</v>
      </c>
      <c r="H4" s="64">
        <v>21300</v>
      </c>
      <c r="I4" s="64">
        <v>22000</v>
      </c>
      <c r="J4" s="64">
        <v>10700</v>
      </c>
      <c r="K4" s="64">
        <v>11400</v>
      </c>
      <c r="L4" s="64">
        <v>22000</v>
      </c>
      <c r="M4" s="64">
        <v>21300</v>
      </c>
      <c r="N4" s="64">
        <v>22000</v>
      </c>
      <c r="O4" s="64">
        <v>21300</v>
      </c>
      <c r="P4" s="64">
        <v>22000</v>
      </c>
      <c r="Q4" s="64">
        <f>SUM(E4:P4)</f>
        <v>237900</v>
      </c>
    </row>
    <row r="5" spans="4:17" ht="18.75" x14ac:dyDescent="0.25">
      <c r="D5" s="70" t="s">
        <v>45</v>
      </c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</row>
    <row r="6" spans="4:17" ht="18.75" x14ac:dyDescent="0.25">
      <c r="D6" s="70" t="s">
        <v>1</v>
      </c>
      <c r="E6" s="63">
        <v>96.3</v>
      </c>
      <c r="F6" s="63">
        <v>96.3</v>
      </c>
      <c r="G6" s="61">
        <v>96.32</v>
      </c>
      <c r="H6" s="61">
        <v>96.34</v>
      </c>
      <c r="I6" s="61">
        <v>96.34</v>
      </c>
      <c r="J6" s="61">
        <v>96.34</v>
      </c>
      <c r="K6" s="61">
        <v>96.34</v>
      </c>
      <c r="L6" s="61">
        <v>96.34</v>
      </c>
      <c r="M6" s="61">
        <v>96.34</v>
      </c>
      <c r="N6" s="61">
        <v>96.34</v>
      </c>
      <c r="O6" s="61">
        <v>96.37</v>
      </c>
      <c r="P6" s="61">
        <v>96.37</v>
      </c>
      <c r="Q6" s="63">
        <v>96.336565783942831</v>
      </c>
    </row>
    <row r="7" spans="4:17" ht="18.75" x14ac:dyDescent="0.25">
      <c r="D7" s="70" t="s">
        <v>40</v>
      </c>
      <c r="E7" s="63">
        <v>96.31</v>
      </c>
      <c r="F7" s="63">
        <v>96.32</v>
      </c>
      <c r="G7" s="61">
        <v>96.34</v>
      </c>
      <c r="H7" s="61">
        <v>96.36</v>
      </c>
      <c r="I7" s="61">
        <v>96.36</v>
      </c>
      <c r="J7" s="61">
        <v>96.36</v>
      </c>
      <c r="K7" s="61">
        <v>96.36</v>
      </c>
      <c r="L7" s="61">
        <v>96.36</v>
      </c>
      <c r="M7" s="61">
        <v>96.36</v>
      </c>
      <c r="N7" s="61">
        <v>96.36</v>
      </c>
      <c r="O7" s="61">
        <v>96.39</v>
      </c>
      <c r="P7" s="61">
        <v>96.39</v>
      </c>
      <c r="Q7" s="63">
        <f>SUMPRODUCT(E4:P4,E7:P7)/Q4</f>
        <v>96.35564102564102</v>
      </c>
    </row>
    <row r="8" spans="4:17" ht="18.75" x14ac:dyDescent="0.25">
      <c r="D8" s="70" t="s">
        <v>2</v>
      </c>
      <c r="E8" s="61">
        <v>74.8</v>
      </c>
      <c r="F8" s="63">
        <v>76</v>
      </c>
      <c r="G8" s="61">
        <v>74.8</v>
      </c>
      <c r="H8" s="61">
        <v>74.900000000000006</v>
      </c>
      <c r="I8" s="61">
        <v>74.8</v>
      </c>
      <c r="J8" s="63">
        <v>76</v>
      </c>
      <c r="K8" s="63">
        <v>81</v>
      </c>
      <c r="L8" s="61">
        <v>74.8</v>
      </c>
      <c r="M8" s="61">
        <v>74.900000000000006</v>
      </c>
      <c r="N8" s="61">
        <v>74.8</v>
      </c>
      <c r="O8" s="61">
        <v>74.900000000000006</v>
      </c>
      <c r="P8" s="61">
        <v>74.8</v>
      </c>
      <c r="Q8" s="63">
        <v>75.278310214375793</v>
      </c>
    </row>
    <row r="9" spans="4:17" ht="18.75" x14ac:dyDescent="0.25">
      <c r="D9" s="70" t="s">
        <v>41</v>
      </c>
      <c r="E9" s="65">
        <v>74.599999999999994</v>
      </c>
      <c r="F9" s="63">
        <v>75.5</v>
      </c>
      <c r="G9" s="61">
        <v>74.5</v>
      </c>
      <c r="H9" s="61">
        <v>74.5</v>
      </c>
      <c r="I9" s="61">
        <v>74.5</v>
      </c>
      <c r="J9" s="63">
        <v>76</v>
      </c>
      <c r="K9" s="63">
        <v>81</v>
      </c>
      <c r="L9" s="61">
        <v>74.5</v>
      </c>
      <c r="M9" s="61">
        <v>74.5</v>
      </c>
      <c r="N9" s="61">
        <v>74.5</v>
      </c>
      <c r="O9" s="61">
        <v>74.5</v>
      </c>
      <c r="P9" s="61">
        <v>74.8</v>
      </c>
      <c r="Q9" s="63">
        <f>SUMPRODUCT(E4:P4,E9:P9)/Q4</f>
        <v>74.999579655317362</v>
      </c>
    </row>
    <row r="10" spans="4:17" ht="18.75" x14ac:dyDescent="0.25">
      <c r="D10" s="70" t="s">
        <v>3</v>
      </c>
      <c r="E10" s="65">
        <v>42</v>
      </c>
      <c r="F10" s="61">
        <v>42.5</v>
      </c>
      <c r="G10" s="65">
        <v>42</v>
      </c>
      <c r="H10" s="61">
        <v>42.5</v>
      </c>
      <c r="I10" s="65">
        <v>42</v>
      </c>
      <c r="J10" s="65">
        <v>42</v>
      </c>
      <c r="K10" s="65">
        <v>45</v>
      </c>
      <c r="L10" s="61">
        <v>41.2</v>
      </c>
      <c r="M10" s="61">
        <v>41.2</v>
      </c>
      <c r="N10" s="61">
        <v>41.2</v>
      </c>
      <c r="O10" s="61">
        <v>41.2</v>
      </c>
      <c r="P10" s="61">
        <v>41.2</v>
      </c>
      <c r="Q10" s="63">
        <v>41.865153425809162</v>
      </c>
    </row>
    <row r="11" spans="4:17" ht="18.75" x14ac:dyDescent="0.25">
      <c r="D11" s="70" t="s">
        <v>42</v>
      </c>
      <c r="E11" s="65">
        <v>41.5</v>
      </c>
      <c r="F11" s="65">
        <v>41.8</v>
      </c>
      <c r="G11" s="65">
        <v>41</v>
      </c>
      <c r="H11" s="65">
        <v>41.7</v>
      </c>
      <c r="I11" s="65">
        <v>41</v>
      </c>
      <c r="J11" s="65">
        <v>41</v>
      </c>
      <c r="K11" s="65">
        <v>44</v>
      </c>
      <c r="L11" s="65">
        <v>40.5</v>
      </c>
      <c r="M11" s="65">
        <v>40.5</v>
      </c>
      <c r="N11" s="65">
        <v>40.5</v>
      </c>
      <c r="O11" s="65">
        <v>40</v>
      </c>
      <c r="P11" s="65">
        <v>40</v>
      </c>
      <c r="Q11" s="63">
        <f>SUMPRODUCT(E4:P4,E11:P11)/Q4</f>
        <v>41.000336275746115</v>
      </c>
    </row>
    <row r="12" spans="4:17" ht="18.75" x14ac:dyDescent="0.25">
      <c r="D12" s="70" t="s">
        <v>39</v>
      </c>
      <c r="E12" s="67">
        <v>1000</v>
      </c>
      <c r="F12" s="67">
        <v>1243.75</v>
      </c>
      <c r="G12" s="67">
        <v>1222.2222222222222</v>
      </c>
      <c r="H12" s="67">
        <v>1065</v>
      </c>
      <c r="I12" s="67">
        <v>1222.2222222222222</v>
      </c>
      <c r="J12" s="67">
        <v>891.66666666666663</v>
      </c>
      <c r="K12" s="61">
        <v>1140</v>
      </c>
      <c r="L12" s="61">
        <v>1100</v>
      </c>
      <c r="M12" s="61">
        <v>1065</v>
      </c>
      <c r="N12" s="68">
        <v>1100</v>
      </c>
      <c r="O12" s="61">
        <v>1065</v>
      </c>
      <c r="P12" s="61">
        <v>1100</v>
      </c>
      <c r="Q12" s="61">
        <v>1100</v>
      </c>
    </row>
    <row r="13" spans="4:17" ht="18.75" x14ac:dyDescent="0.25">
      <c r="D13" s="70" t="s">
        <v>43</v>
      </c>
      <c r="E13" s="61">
        <v>76.41</v>
      </c>
      <c r="F13" s="61">
        <v>76.41</v>
      </c>
      <c r="G13" s="61">
        <v>76.41</v>
      </c>
      <c r="H13" s="61">
        <v>76.41</v>
      </c>
      <c r="I13" s="61">
        <v>76.41</v>
      </c>
      <c r="J13" s="61">
        <v>76.41</v>
      </c>
      <c r="K13" s="61">
        <v>76.41</v>
      </c>
      <c r="L13" s="61">
        <v>76.41</v>
      </c>
      <c r="M13" s="61">
        <v>76.41</v>
      </c>
      <c r="N13" s="61">
        <v>76.41</v>
      </c>
      <c r="O13" s="61">
        <v>76.41</v>
      </c>
      <c r="P13" s="61">
        <v>76.41</v>
      </c>
      <c r="Q13" s="63">
        <f>SUMPRODUCT(E4:P4,E13:P13)/Q4</f>
        <v>76.41</v>
      </c>
    </row>
    <row r="14" spans="4:17" ht="18.75" x14ac:dyDescent="0.25">
      <c r="D14" s="70" t="s">
        <v>44</v>
      </c>
      <c r="E14" s="63">
        <v>76.2</v>
      </c>
      <c r="F14" s="63">
        <v>76.2</v>
      </c>
      <c r="G14" s="63">
        <v>76.2</v>
      </c>
      <c r="H14" s="63">
        <v>76.2</v>
      </c>
      <c r="I14" s="63">
        <v>76.2</v>
      </c>
      <c r="J14" s="63">
        <v>76.2</v>
      </c>
      <c r="K14" s="63">
        <v>76.2</v>
      </c>
      <c r="L14" s="63">
        <v>76.2</v>
      </c>
      <c r="M14" s="63">
        <v>76.2</v>
      </c>
      <c r="N14" s="63">
        <v>76.2</v>
      </c>
      <c r="O14" s="63">
        <v>76.2</v>
      </c>
      <c r="P14" s="63">
        <v>76.2</v>
      </c>
      <c r="Q14" s="63">
        <f>SUMPRODUCT(E4:P4,E14:P14)/Q4</f>
        <v>76.2</v>
      </c>
    </row>
    <row r="17" spans="16:16" x14ac:dyDescent="0.25">
      <c r="P17" s="6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 xmlns="b4391c65-f8f3-4ea3-b99d-1bf2473f7170" xsi:nil="true"/>
    <MigrationWizIdPermissions xmlns="b4391c65-f8f3-4ea3-b99d-1bf2473f7170" xsi:nil="true"/>
    <MigrationWizIdDocumentLibraryPermissions xmlns="b4391c65-f8f3-4ea3-b99d-1bf2473f7170" xsi:nil="true"/>
    <MigrationWizIdPermissionLevels xmlns="b4391c65-f8f3-4ea3-b99d-1bf2473f7170" xsi:nil="true"/>
    <MigrationWizIdSecurityGroups xmlns="b4391c65-f8f3-4ea3-b99d-1bf2473f717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9F4B9E5F21834EAD39AF5A901FB715" ma:contentTypeVersion="16" ma:contentTypeDescription="Create a new document." ma:contentTypeScope="" ma:versionID="eee3b99089d3c879cc490a9d6596ef41">
  <xsd:schema xmlns:xsd="http://www.w3.org/2001/XMLSchema" xmlns:xs="http://www.w3.org/2001/XMLSchema" xmlns:p="http://schemas.microsoft.com/office/2006/metadata/properties" xmlns:ns3="b4391c65-f8f3-4ea3-b99d-1bf2473f7170" xmlns:ns4="b1deae2b-0f26-434e-aee8-0827bfe3ac49" targetNamespace="http://schemas.microsoft.com/office/2006/metadata/properties" ma:root="true" ma:fieldsID="d37873a4bed7158229cfef4f83f26dfb" ns3:_="" ns4:_="">
    <xsd:import namespace="b4391c65-f8f3-4ea3-b99d-1bf2473f7170"/>
    <xsd:import namespace="b1deae2b-0f26-434e-aee8-0827bfe3ac49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391c65-f8f3-4ea3-b99d-1bf2473f7170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eae2b-0f26-434e-aee8-0827bfe3ac49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A430EF-9EED-4EDA-8CE9-FFCA665D44D8}">
  <ds:schemaRefs>
    <ds:schemaRef ds:uri="http://schemas.microsoft.com/office/2006/metadata/properties"/>
    <ds:schemaRef ds:uri="http://schemas.openxmlformats.org/package/2006/metadata/core-properties"/>
    <ds:schemaRef ds:uri="b1deae2b-0f26-434e-aee8-0827bfe3ac49"/>
    <ds:schemaRef ds:uri="http://purl.org/dc/terms/"/>
    <ds:schemaRef ds:uri="b4391c65-f8f3-4ea3-b99d-1bf2473f7170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5F8991F-F93C-466C-9F57-E3AC92EECD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1EDC0C-59FA-46B4-A77F-263D2FE0B2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391c65-f8f3-4ea3-b99d-1bf2473f7170"/>
    <ds:schemaRef ds:uri="b1deae2b-0f26-434e-aee8-0827bfe3ac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TL1</vt:lpstr>
      <vt:lpstr>Planilha1</vt:lpstr>
      <vt:lpstr>TL2</vt:lpstr>
      <vt:lpstr>Planilha3</vt:lpstr>
      <vt:lpstr>Resumo Produção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Rosa, Rodrigo A</dc:creator>
  <cp:lastModifiedBy>Siqueira, Bruner C</cp:lastModifiedBy>
  <dcterms:created xsi:type="dcterms:W3CDTF">2019-06-28T12:03:46Z</dcterms:created>
  <dcterms:modified xsi:type="dcterms:W3CDTF">2026-02-23T13:00:37Z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0x0101007D9F4B9E5F21834EAD39AF5A901FB715</vt:lpwstr>
  </property>
</Properties>
</file>