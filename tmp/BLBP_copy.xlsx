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hidePivotFieldList="1"/>
  <mc:AlternateContent xmlns:mc="http://schemas.openxmlformats.org/markup-compatibility/2006">
    <mc:Choice Requires="x15">
      <x15ac:absPath xmlns:x15ac="http://schemas.microsoft.com/office/spreadsheetml/2010/11/ac" url="D:\SISECOM\SGL2\BLBP\"/>
    </mc:Choice>
  </mc:AlternateContent>
  <xr:revisionPtr revIDLastSave="0" documentId="13_ncr:1_{FD920A5A-8B51-4728-BCFB-10DD8D07B42A}" xr6:coauthVersionLast="43" xr6:coauthVersionMax="43" xr10:uidLastSave="{00000000-0000-0000-0000-000000000000}"/>
  <bookViews>
    <workbookView xWindow="-120" yWindow="-120" windowWidth="29040" windowHeight="16440" tabRatio="917" firstSheet="1" activeTab="1" xr2:uid="{00000000-000D-0000-FFFF-FFFF00000000}"/>
  </bookViews>
  <sheets>
    <sheet name="Plan1" sheetId="8" state="hidden" r:id="rId1"/>
    <sheet name="GRAFICO" sheetId="10" r:id="rId2"/>
    <sheet name="D1" sheetId="11" r:id="rId3"/>
    <sheet name="D2" sheetId="12" r:id="rId4"/>
    <sheet name="D3" sheetId="13" r:id="rId5"/>
    <sheet name="D4" sheetId="14" r:id="rId6"/>
    <sheet name="D5" sheetId="15" r:id="rId7"/>
    <sheet name="D6" sheetId="16" r:id="rId8"/>
    <sheet name="D7" sheetId="17" r:id="rId9"/>
    <sheet name="D8" sheetId="18" r:id="rId10"/>
    <sheet name="D9" sheetId="19" r:id="rId11"/>
    <sheet name="D10" sheetId="20" r:id="rId12"/>
  </sheets>
  <definedNames>
    <definedName name="_1_010317A280317_104755PAR">#REF!</definedName>
    <definedName name="_xlnm._FilterDatabase" localSheetId="0" hidden="1">Plan1!$A$1:$AF$42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4" i="17" l="1"/>
  <c r="B34" i="17"/>
</calcChain>
</file>

<file path=xl/sharedStrings.xml><?xml version="1.0" encoding="utf-8"?>
<sst xmlns="http://schemas.openxmlformats.org/spreadsheetml/2006/main" count="1103" uniqueCount="439">
  <si>
    <t>LAMINADOR</t>
  </si>
  <si>
    <t>DATA</t>
  </si>
  <si>
    <t>TURNO</t>
  </si>
  <si>
    <t>TURMA</t>
  </si>
  <si>
    <t>OPERADOR</t>
  </si>
  <si>
    <t>OBS (TURNO)</t>
  </si>
  <si>
    <t>INICIO</t>
  </si>
  <si>
    <t>FIM</t>
  </si>
  <si>
    <t>DURAÇÃO</t>
  </si>
  <si>
    <t>GRUPO</t>
  </si>
  <si>
    <t>FAMILIA</t>
  </si>
  <si>
    <t>PRODUTO</t>
  </si>
  <si>
    <t>ORDEM</t>
  </si>
  <si>
    <t>CORRIDA</t>
  </si>
  <si>
    <t>SUCATAS</t>
  </si>
  <si>
    <t>TONELAGEM</t>
  </si>
  <si>
    <t>MOTIVO</t>
  </si>
  <si>
    <t>RESPONSÁVEL (ID)</t>
  </si>
  <si>
    <t>RESPONSÁVEL (NOME)</t>
  </si>
  <si>
    <t>PARADA/ATRASO (TIPO)</t>
  </si>
  <si>
    <t>PARADA/ATRASO</t>
  </si>
  <si>
    <t>CONJUNTO (ID)</t>
  </si>
  <si>
    <t>CONJUNTO (NOME)</t>
  </si>
  <si>
    <t>EQUIPAMENTO (ID)</t>
  </si>
  <si>
    <t>EQUIPAMENTO (NOME)</t>
  </si>
  <si>
    <t>MOMENTO</t>
  </si>
  <si>
    <t>TARUGO</t>
  </si>
  <si>
    <t>OBS (PARADA)</t>
  </si>
  <si>
    <t>ACAO IMEDIATA (PARADA)</t>
  </si>
  <si>
    <t>FATO</t>
  </si>
  <si>
    <t>CAUSA</t>
  </si>
  <si>
    <t>ACAO</t>
  </si>
  <si>
    <t>LCP</t>
  </si>
  <si>
    <t>TURNO 1</t>
  </si>
  <si>
    <t>TURMA B</t>
  </si>
  <si>
    <t>Eduardo Melo Pires</t>
  </si>
  <si>
    <t>CANTONEIRA</t>
  </si>
  <si>
    <t>OpL</t>
  </si>
  <si>
    <t>Operação Laminador</t>
  </si>
  <si>
    <t>Parada</t>
  </si>
  <si>
    <t>PNAJS - NORMAL/AJUSTES</t>
  </si>
  <si>
    <t>Laminação</t>
  </si>
  <si>
    <t>07:00</t>
  </si>
  <si>
    <t>AFEQA - ACIDENTAL/FALHA EM EQUIPAMENTO E ACESSORIOS</t>
  </si>
  <si>
    <t>DESARME</t>
  </si>
  <si>
    <t>41</t>
  </si>
  <si>
    <t>TURNO 2</t>
  </si>
  <si>
    <t>TURMA C</t>
  </si>
  <si>
    <t>BRUNO CHAVES ROSA</t>
  </si>
  <si>
    <t>15:00</t>
  </si>
  <si>
    <t>TURNO 3</t>
  </si>
  <si>
    <t>TURMA D</t>
  </si>
  <si>
    <t>Silas de Resende Filho</t>
  </si>
  <si>
    <t>23:00</t>
  </si>
  <si>
    <t>05:00</t>
  </si>
  <si>
    <t>06:20</t>
  </si>
  <si>
    <t>TARUGO 1622 150 X 150 10.500M</t>
  </si>
  <si>
    <t>06:44</t>
  </si>
  <si>
    <t>OFMC</t>
  </si>
  <si>
    <t>Oficina de Montagem e Cilindro</t>
  </si>
  <si>
    <t>PN - PARADA NAO PROGRAMADA</t>
  </si>
  <si>
    <t>PARADA NAO PROGRAMADA</t>
  </si>
  <si>
    <t>LA</t>
  </si>
  <si>
    <t>LAMINADOR ACABADOR</t>
  </si>
  <si>
    <t>GAI</t>
  </si>
  <si>
    <t>GAIOLA</t>
  </si>
  <si>
    <t>Acerto</t>
  </si>
  <si>
    <t xml:space="preserve">_x000D_
</t>
  </si>
  <si>
    <t>LAC17</t>
  </si>
  <si>
    <t>CADEIRA 17 H</t>
  </si>
  <si>
    <t>TARUGO 1012 150 X 150 11.000M</t>
  </si>
  <si>
    <t>11:45</t>
  </si>
  <si>
    <t>AGARRAMENTO</t>
  </si>
  <si>
    <t>ACERTO DE QUALIDADE</t>
  </si>
  <si>
    <t>13:00</t>
  </si>
  <si>
    <t>ME</t>
  </si>
  <si>
    <t>Manutenção Elétrica</t>
  </si>
  <si>
    <t>18:00</t>
  </si>
  <si>
    <t>19:16</t>
  </si>
  <si>
    <t>20:00</t>
  </si>
  <si>
    <t>AMDC - ACIDENTAL/MOTIVO DESCONHECIDO</t>
  </si>
  <si>
    <t>CALHAMENTO IRREGULAR</t>
  </si>
  <si>
    <t>20:23</t>
  </si>
  <si>
    <t>21:00</t>
  </si>
  <si>
    <t>MM</t>
  </si>
  <si>
    <t>Manutenção Mecânica</t>
  </si>
  <si>
    <t>AEEX - ACIDENTAL/ERRO DE EXECUÇAO</t>
  </si>
  <si>
    <t>ERRO AINDA NÃO CADASTRADO</t>
  </si>
  <si>
    <t>TARUGO 1421 150 X 150 10.500M</t>
  </si>
  <si>
    <t>45</t>
  </si>
  <si>
    <t>11536932</t>
  </si>
  <si>
    <t>TARUGO 1622 150 X 150 8.200M</t>
  </si>
  <si>
    <t>02:00</t>
  </si>
  <si>
    <t>LAC16</t>
  </si>
  <si>
    <t>CADEIRA 16 V/H</t>
  </si>
  <si>
    <t>1000067586</t>
  </si>
  <si>
    <t>LAFL16</t>
  </si>
  <si>
    <t>FORMADOR DE LAÇO DA GAIOLA 16</t>
  </si>
  <si>
    <t>TURMA A</t>
  </si>
  <si>
    <t>THIAGO DE OLIVEIRA LOURES</t>
  </si>
  <si>
    <t>K 45 X 3 (12m/4000kg)</t>
  </si>
  <si>
    <t>LD</t>
  </si>
  <si>
    <t>LAMINADOR DESBASTE</t>
  </si>
  <si>
    <t>CIL</t>
  </si>
  <si>
    <t>CILINDROS</t>
  </si>
  <si>
    <t xml:space="preserve">F - BARRA PATINOU NA GAIOLA 3._x000D_
</t>
  </si>
  <si>
    <t>C1 - CANAL NOVO SEM METALIZAÇÃO, RECARTILHO E NÃO FOI LIXADO.</t>
  </si>
  <si>
    <t xml:space="preserve">A - RETIRADA DA SUCATA E LIXADO O CANAL DA G 3._x000D_
ENVIADA A GAIOLA 2 PARA A OFICINA PARA O REPOSICIONAMENTO DA GUIA DE SAÍDA._x000D_
_x000D_
OBS.: ATRASO NO ENVIO DA GAIOLA 2 PARA A OFICINA DEVIDO IMPOSSIBILIDADE DE EXTRAÇÃO._x000D_
DESALINHAMENTO DO CONJUNTO  EIXO MANCAL DA GAIOLA._x000D_
</t>
  </si>
  <si>
    <t>DESGASTE EXCESSIVO</t>
  </si>
  <si>
    <t>DESBITOLAMENTO</t>
  </si>
  <si>
    <t>LAC15</t>
  </si>
  <si>
    <t>CADEIRA 15 H</t>
  </si>
  <si>
    <t>03:50</t>
  </si>
  <si>
    <t>04:08</t>
  </si>
  <si>
    <t>TS</t>
  </si>
  <si>
    <t>TESOURAS</t>
  </si>
  <si>
    <t>TSH3</t>
  </si>
  <si>
    <t>SH3</t>
  </si>
  <si>
    <t>APPI - ACIDENTAL/PADRAO OU PROCESSO INADEQUADO</t>
  </si>
  <si>
    <t>DESALINHAMENTO</t>
  </si>
  <si>
    <t>LDC4</t>
  </si>
  <si>
    <t>CADEIRA 4 V</t>
  </si>
  <si>
    <t>FOLGAS</t>
  </si>
  <si>
    <t>15:10</t>
  </si>
  <si>
    <t>TARUGO 1026 150 X 150 11.950M</t>
  </si>
  <si>
    <t>VERGALHÃO</t>
  </si>
  <si>
    <t>VRG</t>
  </si>
  <si>
    <t>SLA</t>
  </si>
  <si>
    <t>SAIDA DO LAMINADOR</t>
  </si>
  <si>
    <t>SLAQTB</t>
  </si>
  <si>
    <t>QTB</t>
  </si>
  <si>
    <t>LI</t>
  </si>
  <si>
    <t>LAMINADOR INTERMEDIÁRIO</t>
  </si>
  <si>
    <t>GUI</t>
  </si>
  <si>
    <t>GUIA</t>
  </si>
  <si>
    <t>ACIONAMENTO IRREGULAR</t>
  </si>
  <si>
    <t>VRG 16 mm (12m/2000kg)</t>
  </si>
  <si>
    <t>11540389</t>
  </si>
  <si>
    <t>17:00</t>
  </si>
  <si>
    <t>Ext</t>
  </si>
  <si>
    <t>Externa</t>
  </si>
  <si>
    <t>Aci</t>
  </si>
  <si>
    <t>Aciaria</t>
  </si>
  <si>
    <t>Gui</t>
  </si>
  <si>
    <t>GUIAS</t>
  </si>
  <si>
    <t>16:45</t>
  </si>
  <si>
    <t>4000048242</t>
  </si>
  <si>
    <t>20:40</t>
  </si>
  <si>
    <t>21:15</t>
  </si>
  <si>
    <t xml:space="preserve">F - MATERIAL CORTANDO NA SAIDA DA GAIOLA 13._x000D_
</t>
  </si>
  <si>
    <t xml:space="preserve">F: MATERIAL CORTANDO NA SAIDA DA GAIOLA 13._x000D_
C1: MATERIAL PEGOU CORDÃO DO CANAL DA GAIOLA 13._x000D_
C2: GUIA DE ENTRADA ABRIU._x000D_
C3: PARAFUSO DE AJUSTE DE ABERTURA DA GUIA DE ENTRADA NO FINAL DO EIXO DE REGULAGEM._x000D_
C4: EM ANÁLISE._x000D_
</t>
  </si>
  <si>
    <t xml:space="preserve">A: RETIRADA DA SUCATA E AJUSTE DA REGULAGEM DE ABERTURA DA GUIA DE ENTRADA._x000D_
_x000D_
_x000D_
</t>
  </si>
  <si>
    <t>21:27</t>
  </si>
  <si>
    <t>22:10</t>
  </si>
  <si>
    <t xml:space="preserve">F: BARRA TRAVOU NA GUIA DE ENTRADA DA GAIOLA 13._x000D_
</t>
  </si>
  <si>
    <t xml:space="preserve">C1: MATERIAL PEGOU CORDÃO NO CANAL DA GAIOLA 13._x000D_
C2: GUIA DE ENTRADA ABRIU._x000D_
C3: ROSCA DO BRAÇO DE REGULAGEM DA GUIA ESPANADO._x000D_
C4: EM ANÁLISE._x000D_
</t>
  </si>
  <si>
    <t xml:space="preserve">A: RETIRADA DA SUCATA E TROCA DA GUIA DE ENTRADA DA GAIOLA 13._x000D_
_x000D_
</t>
  </si>
  <si>
    <t>4000048278</t>
  </si>
  <si>
    <t>02:20</t>
  </si>
  <si>
    <t>LAC12</t>
  </si>
  <si>
    <t>CADEIRA 12 H</t>
  </si>
  <si>
    <t xml:space="preserve">F: SUCATA ENTRE AS GAIOLAS 12 E 13._x000D_
</t>
  </si>
  <si>
    <t xml:space="preserve">C1: PONTA DA BARRA SAIU ALTA DA G.12 AMASSANDO A MESMA E TRAVANDO NA ENTRADA DA G.13._x000D_
C2: CANAL DA G.12 COM DESGASTE EXCESSIVO(PLANDO DE CÂMBIO PEDE 2.500ton. REAL ESTAVA COM 1.500ton._x000D_
</t>
  </si>
  <si>
    <t xml:space="preserve">A: REALIZANDO A RETIRADA DA SUCATA, TROCA DO CANAL DA G.12 E TROCA DO ESTATICO DA GUIA DE SAÍDA._x000D_
</t>
  </si>
  <si>
    <t>04:30</t>
  </si>
  <si>
    <t>05:25</t>
  </si>
  <si>
    <t>4000048277</t>
  </si>
  <si>
    <t xml:space="preserve">F: SUCATA ENTE AS GAIOLAS 16 E 17._x000D_
</t>
  </si>
  <si>
    <t xml:space="preserve">C1: BARRA TRAVOU NO ROLETE DA GUIA DE ENTRADA DA G.17._x000D_
C2: MATERIAL ADERIDO NO ROLETE._x000D_
</t>
  </si>
  <si>
    <t>A: REALIZANDO A RETIRADA DA SUCATA, LIMPEZA NOS FORMADORES DE LAÇO, ONDE FOI ENCONTRADO VARIOS PEDAÇOS DE LASCA DE MATERIAL. OBS. DA GAIOLA 13 ATÉ A G.17. TROCAMOS O CANAL DA G.14.</t>
  </si>
  <si>
    <t>15:35</t>
  </si>
  <si>
    <t>20:16</t>
  </si>
  <si>
    <t>15:32</t>
  </si>
  <si>
    <t>16:09</t>
  </si>
  <si>
    <t>4000048271</t>
  </si>
  <si>
    <t>FATO: BARRA ARREBENTOU ENTRE AS GAIOLAS 16 E 17.</t>
  </si>
  <si>
    <t>CAUSA 1: ROLO PERSUADOR DO FORMADOR DE LAÇO 7 NÃO ATUOU NA BARRA._x000D_
CAUSA 2: EM ANALISE.</t>
  </si>
  <si>
    <t>AÇÃO: RETIRADA DA SUCATA. ANALISE DOS SINAIS NO PDA ( PELOS SINAIS DO PDA HOUVE COMANDO PARA O ROLO PERSUADOR ATUAR). ANALISE DAS IMAGENS DE VIDEO ( PELA IMAGEM FOI VERIFICADO QUE O ROLO PERSUADOR NÃO ATUOU). FEITO TESTE NOS ROLOS PERSUADORES._x000D_
OBS.: FOI TROCADA A GAIOLA 9 PARA LIBERAR CARTUCHO PARA OFICINA REALIZAR MONTAGEM DA VIGA I.</t>
  </si>
  <si>
    <t>20:30</t>
  </si>
  <si>
    <t>VIGA I</t>
  </si>
  <si>
    <t>I6</t>
  </si>
  <si>
    <t>I 6" x 1º alma (6m/2000kg)</t>
  </si>
  <si>
    <t>1000067640</t>
  </si>
  <si>
    <t>TARUGO 1012 150 X 150 10.700M</t>
  </si>
  <si>
    <t>00:10</t>
  </si>
  <si>
    <t>01:58</t>
  </si>
  <si>
    <t xml:space="preserve">F- SUCATA ENTRE AS GAIOLAS 03 E 05._x000D_
</t>
  </si>
  <si>
    <t xml:space="preserve">C1- MATERIAL TORCEU NA SAÍDA DA GAIOLA 03._x000D_
C2- BARRA SAIU TORCIDA DO PASSE DA GAIOLA 03 E TRAVOU NA ENTRADA DA GAIOLA 05._x000D_
</t>
  </si>
  <si>
    <t xml:space="preserve">A- RETIRAMOS SUCATA, CONFERIMOS A ABERTURA DAS GUIAS DO DESBASTE, LUZ DAS GAIOLAS, DIMENSÃO DO MATERIAL._x000D_
OBS: HOUVE DEMORA NA LIBERAÇÃO DEVIDO A SUCATA TER EMPENADO OS BRAÇOS DA CALHA DUMMY DA POSIÇÃO 4, SENDO NECESSÁRIO REPARÁ-LA._x000D_
</t>
  </si>
  <si>
    <t>02:42</t>
  </si>
  <si>
    <t>GA</t>
  </si>
  <si>
    <t xml:space="preserve">F- SUCATA ENTRE AS GAIOLAS 05 E 07._x000D_
</t>
  </si>
  <si>
    <t xml:space="preserve">C1- MATERIAL TORCEU NA SAÍDA DA GAIOLA 3._x000D_
C2- MATERIAL NÃO PREENCHENDO TOTALMENTE O CANAL DA GAIOLA 3._x000D_
C3- LUZ DA GAIOLA 2 FECHADA EM 20mm._x000D_
C4- PLANO DE CÂMBIO REVISADO NA CAMPANHA ANTERIOR NÃO ATENDE._x000D_
</t>
  </si>
  <si>
    <t xml:space="preserve">A- RETIRAMOS SUCATA, CONFERIMOS A ABERTURA DAS GUIAS DO DESBASTE, LUZ DAS GAIOLAS, DIMENSÃO DO MATERIAL E ABRIMOS 20mm NA LUZ DA GAIOLA 2. _x000D_
</t>
  </si>
  <si>
    <t>CILINDRO</t>
  </si>
  <si>
    <t>20:32</t>
  </si>
  <si>
    <t>22:20</t>
  </si>
  <si>
    <t>1000067637</t>
  </si>
  <si>
    <t>FATO: DESARME DA GAIOLA 17.</t>
  </si>
  <si>
    <t>CAUSA 1: TORQUE MAXIMO ( 135%)._x000D_
CAUSA 2: PROVAVEL TEMPERATURA DO TARUGO._x000D_
CAUSA 3: REDUÇÃO NA TEMPERATURA DO FORNO EM 20°C DEVIDO EMPENO DOS TARUGOS NO FORNO PROXIMO DA ZONA 3.</t>
  </si>
  <si>
    <t xml:space="preserve">AÇÃO: RETIRADA DA SUCATA. AUMENTO DA TEMPERATURA E FOI FECHADO 0,3mm NAS GAIOLAS 11,12,14,15 E ABERTO 0,3mm NA GAIOLA 17._x000D_
</t>
  </si>
  <si>
    <t>22:50</t>
  </si>
  <si>
    <t>1000067638</t>
  </si>
  <si>
    <t>FATO: SOBRA DE BARRA ENTRE AS GAIOLAS 12 E 14.</t>
  </si>
  <si>
    <t xml:space="preserve">CAUSA: ATRASO NA CORREÇÃO DE VELOCIDADE DA GAIOLA 12._x000D_
</t>
  </si>
  <si>
    <t>AÇÃO: RETIRADA DA SUCATA.</t>
  </si>
  <si>
    <t>LAC14</t>
  </si>
  <si>
    <t>CADEIRA 14 H</t>
  </si>
  <si>
    <t>VRG 20 mm (12m/2000kg)</t>
  </si>
  <si>
    <t>LIC10</t>
  </si>
  <si>
    <t>CADEIRA 10 V/H</t>
  </si>
  <si>
    <t>TARUGO 1026 150 X 150 11.800M</t>
  </si>
  <si>
    <t>22:32</t>
  </si>
  <si>
    <t>11540390</t>
  </si>
  <si>
    <t>4000048459</t>
  </si>
  <si>
    <t>SUCATA</t>
  </si>
  <si>
    <t xml:space="preserve">F: SUCATA ENTRE AS GAIOLAS 09 E 10._x000D_
</t>
  </si>
  <si>
    <t xml:space="preserve">C1: BARRA FICOU PARADA ENTE OS CILINDROS DA G.10._x000D_
C2: FALHA NA TRASNMISSÃO MECÂNICA._x000D_
C3: POSSÍVEL QUEBRA DA CAIXA REDUTORA PLANETÁRIA._x000D_
</t>
  </si>
  <si>
    <t>A: REALIZANDO ANÁLISE NA GAIOLA.</t>
  </si>
  <si>
    <t>I4</t>
  </si>
  <si>
    <t>I 4" x 1º alma (6m/2000kg)</t>
  </si>
  <si>
    <t>1000067653</t>
  </si>
  <si>
    <t>14:21</t>
  </si>
  <si>
    <t>USO DE ACESSÓRIOS ERRADOS</t>
  </si>
  <si>
    <t>LAC13</t>
  </si>
  <si>
    <t>CADEIRA 13 V/H</t>
  </si>
  <si>
    <t>FATO: BARRA ARRANCOU A GUIA DE SAIDA DA GAIOLA 13._x000D_
OBS.: GAIOLA 12 TRABALHANDO NA POSIÇÃO DA GAIOLA 13.</t>
  </si>
  <si>
    <t xml:space="preserve">CAUSA 1: ERRO NO PLANO DE CÂMBIO. INFORMAÇÕES DE CALÇOS SUPERIOR E INFERIOR INCORRETOS._x000D_
</t>
  </si>
  <si>
    <t>AÇÃO: RETIRADA DA SUCATA E TROCA DOS CALÇOS SUPERIOR DE 35mm PARA 30mm E INFERIOR DE 40mm PARA 35mm.</t>
  </si>
  <si>
    <t>VRG 25 mm (12m/2000kg)</t>
  </si>
  <si>
    <t>11541033</t>
  </si>
  <si>
    <t>4000046948</t>
  </si>
  <si>
    <t>TARUGO 1026 150 X 150 12.000M</t>
  </si>
  <si>
    <t>14:08</t>
  </si>
  <si>
    <t>FATO: CABEÇA DA BARRA SAIU ALTA DA GAIOLA 4 E NÃO PASSOU PELA GAIOLA 5.</t>
  </si>
  <si>
    <t xml:space="preserve">CAUSA 1: PROVAVEL VARIAÇÃO DA TEMPERATURA DO TARUGO._x000D_
CAUSA 2: TEMPERATURA DO FORNO INSTAVEL (TEMPERATURA DA CABEÇA DO TARUGO COM 834°C._x000D_
</t>
  </si>
  <si>
    <t>AÇÃO: RETIRADA DA SUCATA E ACOMPANHAMENTO DA TEMPERATURA DO FORNO.</t>
  </si>
  <si>
    <t>19:40</t>
  </si>
  <si>
    <t>11541035</t>
  </si>
  <si>
    <t>14:54</t>
  </si>
  <si>
    <t>14:57</t>
  </si>
  <si>
    <t>4000048541</t>
  </si>
  <si>
    <t>PICOTAMENTO INVOLUNTÁRIO</t>
  </si>
  <si>
    <t>FATO: TESOURA SH2. ENTROU EM PICOTOU UM TARUGO.</t>
  </si>
  <si>
    <t>CAUSA 1: FOTOCELULA APOS A GAIOLA 7 FICOU ATUADA DIRETO._x000D_
CAUSA 2: RAIO SOLAR ATUOU A FOTOCELULA._x000D_
OBS. VARIAS TELHAS FALTANDO NO GALPÃO.</t>
  </si>
  <si>
    <t>AÇÃO: FOI REALIZADO A PROTEÇÃO DA FOTOCELULA E FEITO RESET NO TRACKING DO LAMINADOR.</t>
  </si>
  <si>
    <t>14:28</t>
  </si>
  <si>
    <t>15:58</t>
  </si>
  <si>
    <t>11547994</t>
  </si>
  <si>
    <t>22:55</t>
  </si>
  <si>
    <t>1000067617</t>
  </si>
  <si>
    <t>TARUGO 1515 150 X 150 10.400M</t>
  </si>
  <si>
    <t xml:space="preserve">F- SUCATA NA ENTRADA DA GAIOLA 16._x000D_
</t>
  </si>
  <si>
    <t xml:space="preserve">C- AFROUXAMENTO DA CASTANHA DA GUIA DE ENTRADA._x000D_
</t>
  </si>
  <si>
    <t xml:space="preserve">OBS: AS AÇÕES SERÃO RELATADAS NO PRÓXIMO RELATÓRIO DEVIDO A TROCA DE TURNO._x000D_
</t>
  </si>
  <si>
    <t>1000067755</t>
  </si>
  <si>
    <t>TARUGO 1026 130 X 130 11.950M</t>
  </si>
  <si>
    <t>06:43</t>
  </si>
  <si>
    <t>FATO: BARRA NÃO PASSOU PELA GUIA DE ENTRADA DA GAIOLA 16.</t>
  </si>
  <si>
    <t>CAUSA: EM ANALISE. CAUSA NÃO ENCONTRADA.</t>
  </si>
  <si>
    <t>AÇÃO: RETIRADA DA SUCATA E MELHORANDO ALINHAMENTO DA GUIA DE ENTRADA DA GAIOLA 15.</t>
  </si>
  <si>
    <t>06:47</t>
  </si>
  <si>
    <t>AÇÃO: RETIRADA DA SUCATA. MAIS AÇÕES SERAM PASSADAS NO PROXIMO TURNO.</t>
  </si>
  <si>
    <t>11541028</t>
  </si>
  <si>
    <t>1000067827</t>
  </si>
  <si>
    <t>VRG 12,5 SLIT (12m/2000kg)</t>
  </si>
  <si>
    <t xml:space="preserve">F- SUCATA ENTRE AS GAIOLAS 15 E 16._x000D_
</t>
  </si>
  <si>
    <t xml:space="preserve">C1- VEIO Nº01 COLIDIU CONTRA O CONVITE DA CALHA DO LAÇO APÓS A GAIOLA 15._x000D_
C2- PONTA DO CONVITE EXPOSTA._x000D_
</t>
  </si>
  <si>
    <t xml:space="preserve">A- REALIZANDO MELHORIA NO CONVITE DA CALHA, MELHORANDO A ABERTURA E SOLDANDO UMA CHAPA PARA MELHORAR O DESVIO._x000D_
</t>
  </si>
  <si>
    <t>22:31</t>
  </si>
  <si>
    <t>1000067829</t>
  </si>
  <si>
    <t>C. Barra</t>
  </si>
  <si>
    <t>Caminho da Barra</t>
  </si>
  <si>
    <t xml:space="preserve">F- SUCATA APÓS A SH3._x000D_
</t>
  </si>
  <si>
    <t xml:space="preserve">C1- BARRA COLIDIU NO DESVIO SOLDADO NA CALHA FIXA APROXIMADAMENTE 10MT APÓS A SH3._x000D_
C2- DESVIOS SOLDADOS NA CALHA COM QUINA VIVA._x000D_
</t>
  </si>
  <si>
    <t xml:space="preserve">A- REALIZANDO A RETIRADA DA SUCATA, REALIZANDO ENCHIMENTO COM SOLDA E LIXANDO._x000D_
_x000D_
</t>
  </si>
  <si>
    <t>03:37</t>
  </si>
  <si>
    <t>1000067831</t>
  </si>
  <si>
    <t xml:space="preserve">FATO: PITOCAMENTO DE UM TARUGO EM MANUAL NAS TES. SH1 E SH2. </t>
  </si>
  <si>
    <t>CAUSA 1: RUIDO ANORMAL NO LAMINADOR._x000D_
CAUSA 2: MANGUEIRA DE LUBRICAÇÃO DA GUIA DE ENTRADA DA GAIOLA 14 QUE HAVIA SIDO TROCADA SOLTOU E MORDEU NO CILINDRO. _x000D_
CAUSA 3: FALTA DE APERTO DO NIPLE.</t>
  </si>
  <si>
    <t>AÇÃO: TROCA DO NIPLE DEVIDO O MESMO TER SIDO DANIFICADO.</t>
  </si>
  <si>
    <t>1000067830</t>
  </si>
  <si>
    <t>05:04</t>
  </si>
  <si>
    <t>05:47</t>
  </si>
  <si>
    <t>FATO: SUCATA NA ENTRADA DA G-15</t>
  </si>
  <si>
    <t>CAUSA 1: QUEBRA DA CRISTA DO CANAL DO CILINDRO INFERIOR DA GAIOLA 15. CAUSA 2: EM ANALISE. OBS.: TONELAGEM LAMINADA DO CANAL 198. TONELAGEM PROGRAMADA 800.</t>
  </si>
  <si>
    <t>AÇÃO: RETIRADA DA SUCATA E TROCA DA GAIOLA._x000D_
OBS.: FOI DEVOLVIDO UM TARUGO DA CORRIDA 1000067830.</t>
  </si>
  <si>
    <t>LAFL13</t>
  </si>
  <si>
    <t>FORMADOR DE LAÇO DA GAIOLA 13</t>
  </si>
  <si>
    <t>06:50</t>
  </si>
  <si>
    <t>FATO: CABEÇA DA BARRA NÃO PASSOU PELA GUIA DE ENTRADA DA GAIOLA 14.</t>
  </si>
  <si>
    <t xml:space="preserve">CAUSA 1: GUIA DE SAIDA DA GAIOLA 13 ABRIU._x000D_
CAUSA 2: ROLETE SUPERIOR COM FOLGA AXIAL._x000D_
CAUSA 3: PARAFUSO DE FIXAÇÃO DO EIXO AFROUXOU. _x000D_
OBS.: FOI AJUSTADA A ABERTURA DA GUIA TRÊS VEZES DURANTE O TURNO_x000D_
</t>
  </si>
  <si>
    <t>AÇÃO: RETIRADA DA SUCATA, REGULANDO A GUIA DE SAIDA DA 13 COM AMOSTRA E RETIRANDO A FOLGA DO ROLETE.</t>
  </si>
  <si>
    <t>11541036</t>
  </si>
  <si>
    <t>Elenilson Gonçalves Medeiros</t>
  </si>
  <si>
    <t>1000067871</t>
  </si>
  <si>
    <t xml:space="preserve">F- SUCATA ENTRE AS GAIOLAS 16 E 17._x000D_
</t>
  </si>
  <si>
    <t xml:space="preserve">C1- BARRA DO 3º VEIO NÃO TORCEU VINDO A TRAVAR NO ESTÁTICO DA GUIA DE ENTRADA DA GAIOLA 17._x000D_
C2- DEVIDO Á FOLGA NO ROLETE DA GUIA DE TORÇÃO(1MM)._x000D_
C3- EM ANÁLISE._x000D_
</t>
  </si>
  <si>
    <t xml:space="preserve">A- REALIZANDO A RETIRADA DA SUCATA E AJUSTANDO A GUIA DE TORÇÃO._x000D_
</t>
  </si>
  <si>
    <t>16:34</t>
  </si>
  <si>
    <t>17:12</t>
  </si>
  <si>
    <t xml:space="preserve">C- DURANTE O AJUSTE DE LUZ DA GAIOLA 17, HOUVE O DESACOPLAMENTO DO FUSO DE TRANSMISSÃO, VINDO A FECHAR SOMENTE A LUZ DO LADO DO ACIONAMENTO" E GERANDO SUCATA._x000D_
</t>
  </si>
  <si>
    <t xml:space="preserve">A- ACOPLANDO MANUALMENTE O EIXO E COLOCANDO A LUZ DA GAIOLA CONFORME O PLANO DE CÂMBIO._x000D_
</t>
  </si>
  <si>
    <t>11541037</t>
  </si>
  <si>
    <t>1000067848</t>
  </si>
  <si>
    <t>14:45</t>
  </si>
  <si>
    <t>VRG 10 SLIT (12m/2000kg)</t>
  </si>
  <si>
    <t xml:space="preserve">F: ACERTO DE BITOLA E PROPRIEDADES MECÂNICAS._x000D_
_x000D_
_x000D_
_x000D_
</t>
  </si>
  <si>
    <t>16:51</t>
  </si>
  <si>
    <t>F - SUCATA ENTRE AS GAIOLAS 16 E 17.</t>
  </si>
  <si>
    <t>C1 - VEIO 1 NÃO PASSOU PELA GUIA DE ENTRADA._x000D_
C2 - BARRA COLIDIU COM PEDAÇO DE BARRA DO TARUGO ANTERIOR QUE FICOU PRESA GUIA  DE ENTRADA DA GAIOLA 17._x000D_
C3 - DEFEITO NA CALDA DO TARUGO.</t>
  </si>
  <si>
    <t>A - RETIRADA DA SUCATA. FOI FECHADO 0,1mm NA GAIOLA 17.</t>
  </si>
  <si>
    <t>11541039</t>
  </si>
  <si>
    <t>17:20</t>
  </si>
  <si>
    <t>17:39</t>
  </si>
  <si>
    <t>1000067821</t>
  </si>
  <si>
    <t>F - BARRA TRAVOU NA GUIA DE ENTRADA DA GAIOLA 15.</t>
  </si>
  <si>
    <t xml:space="preserve">C1 - MATERIAL APRESENTANDO "BIGODE" NA GAIOLA 14._x000D_
C2 - PASSE DAS GAIOLAS 13 E 14 ESTÃO NA BITOLA CONFORME O PLANO DE CÂMBIO, PORÉM MATERIAL DA GAIOLA 14 ESTÁ COM EXCESSO(VAZANDO)._x000D_
C3- PROVÁVEL FALHA NO PLANO DE CÂMBIO._x000D_
</t>
  </si>
  <si>
    <t>A: REGULADO A GUIA DE ENTRADA DA GAIOLA 15 COM AMOSTRA E FECHANDO 0,2MM NAS GAIOLAS 12 E 13.</t>
  </si>
  <si>
    <t>18:50</t>
  </si>
  <si>
    <t>F - BARRA DO VEIO 1 PASSOU FORA DO PINCH ROLL DA SH3.</t>
  </si>
  <si>
    <t xml:space="preserve">C1 - ROLO DA CALHA DE ENTRADA DO PINCH ROLL ABERTO._x000D_
C2 - EM ANÁLISE._x000D_
</t>
  </si>
  <si>
    <t>A - RETIRADA DA SUCATA,FECHADO OS ROLOS DA CALHA DE ENTRADA DO PINCH ROLL DA SH3,SOLDADO A CHAPA DE DESGASTE DA SNAP ENTRE AS GAIOLA 12 E 13, QUE QUEBROU A SOLDA E TROCADO A GUIA DE ENTRADA(RE35) DO VEIO 02 QUE APRESENTAVA DESGASTE NO ROLETE.</t>
  </si>
  <si>
    <t>09:51</t>
  </si>
  <si>
    <t>10:35</t>
  </si>
  <si>
    <t>4000048723</t>
  </si>
  <si>
    <t xml:space="preserve">F- SUCATA NA ENTRADA DA GAIOLA 15._x000D_
</t>
  </si>
  <si>
    <t xml:space="preserve">C1- BARRA TRAVOU NO ROLETE DA GUIA DE ENTRADA DA G15._x000D_
C2- MATERIAL APRESENTOU "BIGODE" NO PASSE DA GAIOLA 14._x000D_
C3- BICO DA GUIA DE ENTRADA DA GAIOLA 14 SOLTO, PERMITINDO QUE O MATERIAL DO PASSE MORDESSE O CANAL VINDO A TRAVAR NA ENTRADA DA G15._x000D_
</t>
  </si>
  <si>
    <t xml:space="preserve">A- RETIRANDO A GUIA DE ENTRADA PARA ACESSAR O BICO E REALIZAR O REAPERTO._x000D_
</t>
  </si>
  <si>
    <t>4000048718</t>
  </si>
  <si>
    <t>F: CABEÇA DA BARRA VEIO 01 NÃO PASSOU PELA CAIXA DE ENTRADA DA G.17.</t>
  </si>
  <si>
    <t xml:space="preserve">C: EM ANÁLISE (SUCATA NO FINAL DO TURNO, AGUARDANDO RETIRADA DA SUCATA PARA ANÁLISE)._x000D_
</t>
  </si>
  <si>
    <t xml:space="preserve">A: RETIRANDO SUCATA._x000D_
</t>
  </si>
  <si>
    <t>09:29</t>
  </si>
  <si>
    <t>09:33</t>
  </si>
  <si>
    <t xml:space="preserve">F- PICOTAMENTO MANUAL DE TARUGO._x000D_
</t>
  </si>
  <si>
    <t xml:space="preserve">C- APÓS O PEDIDO DA SEGUNDA BARRA NO LAMINADOR, A OPERAÇÃO IDENTIFICOU UM PEDAÇO DE BARRA PARADA NO TUBO DO QTB._x000D_
</t>
  </si>
  <si>
    <t xml:space="preserve">A- REALIZANDO O PICOTAMENTO MANUAL E RETIRANDO O TUBO PARA REMOÇÃO DA BARRA._x000D_
</t>
  </si>
  <si>
    <t>10:46</t>
  </si>
  <si>
    <t xml:space="preserve">F- PONTA DA BARRA BATEU NA GUIA DE ENTRADA DA GAIOLA 04(ENTRE OS ROLETES E A SAÍDA DA GUIA)._x000D_
</t>
  </si>
  <si>
    <t xml:space="preserve">C1- PONTA DA BARRA EMPENANDO A CABEÇA APÓS O PASSE DA GAIOLA 03._x000D_
C2- POSSÍVEL FALHA DE HOMOGENEIDADE NA TEMPERATURA DO TARUGO._x000D_
</t>
  </si>
  <si>
    <t xml:space="preserve">A- REALIZANDO A RETIRADA DA SUCATA, FECHANDO -2MM NA LAUZ DA GAIOLA 02, E SOLDAMOS UMA CHAPA NA GUIA DE SAÍDA DA GAIOLA 03 PARA DIRECIONAR A BARRA PARA BAIXO._x000D_
</t>
  </si>
  <si>
    <t>1000067888</t>
  </si>
  <si>
    <t>F: SUCATA NA SAIDA DA GAIOLA 17.</t>
  </si>
  <si>
    <t xml:space="preserve">C1: BARRA DO VEIO 1 E 3 PEGOU O BICO DO RASPADOR DA GUIA DE SAIDA._x000D_
C2: PROVÁVEL DESAJUSTE DO RASPADOR._x000D_
C3: EM ANÁLISE._x000D_
</t>
  </si>
  <si>
    <t>A: RETIRADA DA SUCATA,TROCA DO RASPADOR DO VEIO 1 E 3 E AJUSTE DOS MESMOS.</t>
  </si>
  <si>
    <t>BARRA REDONDA</t>
  </si>
  <si>
    <t>FATO: CALHAMENTO IRREGULAR NO LEITO.</t>
  </si>
  <si>
    <t>RD2</t>
  </si>
  <si>
    <t>RD 2 5/8" (6m/2000kg)</t>
  </si>
  <si>
    <t>11541065</t>
  </si>
  <si>
    <t>1000067881A</t>
  </si>
  <si>
    <t>TARUGO 1045 150 X 150 9.700M</t>
  </si>
  <si>
    <t>19:45</t>
  </si>
  <si>
    <t>FATO: BARRA NÃO PASSOU PELA GUIA DE ENTRADA DA G8.</t>
  </si>
  <si>
    <t>CAUSA PROVÁVEL: LARGURA DO PASSE DA GAIOLA 5 COM 114,1mm, PLANO DE CÂMBIO PEDE 106,6mm._x000D_
OBS.: LUZES DO DESBASTE REALIZADAS CONFORME PLANO DE CÂMBIO.</t>
  </si>
  <si>
    <t>AÇÃO: FECHANDO 3mm NA G1; FECHANDO 2mm NA G2; FECHANDO 1mm NA G3; FECHANDO 2,5mm NA G4 E ABRINDO 0,5mm NA G5.</t>
  </si>
  <si>
    <t>20:55</t>
  </si>
  <si>
    <t xml:space="preserve">CAUSA : "BICO" DA GUIA DE ENTRADA COM ESPECIFICAÇÃO MENOR QUE PEDE O PLANO DE CÂMBIO._x000D_
</t>
  </si>
  <si>
    <t xml:space="preserve">AÇÃO: RETIARADA DA SUCATA E REALIZANDO TROCA DO "BICO" DA GUIA DE ENTRADA </t>
  </si>
  <si>
    <t>K2</t>
  </si>
  <si>
    <t>K 2 x 1/8" (6m/2000kg)</t>
  </si>
  <si>
    <t>11541073</t>
  </si>
  <si>
    <t>1000067546B</t>
  </si>
  <si>
    <t>LDC6</t>
  </si>
  <si>
    <t>CADEIRA 6 V</t>
  </si>
  <si>
    <t>FATO: BARRA NÃO PASSOU PELA GUIA DE ENTRADA DA GAIOLA 6.</t>
  </si>
  <si>
    <t>CAUSA 1: GUIA DE ENTRADA DA GAIOLA 6 1,5mm MAIS ABERTA QUE O PLANO DE CÂMBIO (P.C. 69mm REAL 70,5mm)._x000D_
CAUSA 2: GUIA ABRIU DURANTE O PROCESSO._x000D_
CAUSA 3: EM ANALISE.</t>
  </si>
  <si>
    <t>AÇÃO: RETIRADA DA SUCATA. FECHADO A GUIA DE ENTRADA DA GAIOLA 6 E ABERTO 1,5mm NA GAIOLA 5._x000D_
OBS.: FOI SOLICITADO A OFICINA GUIA DE ENTRADA DA GAIOLA 6 RESERVA, CASO SEJA CONFIRMADO ABERTURA DOS ROLETES DURANTE O PROCESSO._x000D_
OBS 2.: FOI SOLDADO TIRANTE DA GUIA NO TRAVESSÃO DA GAIOLA PARA EVITAR A MOVIMENTAÇÃO DA MESMA DURANTE A PASSAGEM DA BARRA.</t>
  </si>
  <si>
    <t>K50</t>
  </si>
  <si>
    <t>K 50 X 3,0 (12m/4000kg)</t>
  </si>
  <si>
    <t>1000067616A</t>
  </si>
  <si>
    <t xml:space="preserve">F- SUCATA NA SH3._x000D_
</t>
  </si>
  <si>
    <t xml:space="preserve">C1- TESOURA NÃO SEPAROU A BARRA._x000D_
C2- TESOURA MASCOU O CORTE._x000D_
C3- DEVIDO Á FOLGA NAS NAVALHAS DE APROXIMADAMENTE 1MM._x000D_
</t>
  </si>
  <si>
    <t xml:space="preserve">A- REALIZANDO A RETIRADA DA SUCATA, BLOQUEIO DA TESOURA SH3, REALIZANDO A CORREÇÃO DO GAP COM A INSERÇÃO DE 1MM DE CALÇO NA NAVALHA INFERIOR E REAPERTO DA NAVALHA SUPERIOR._x000D_
</t>
  </si>
  <si>
    <t>RODOLFO WILLIANS</t>
  </si>
  <si>
    <t>11440395</t>
  </si>
  <si>
    <t>1000067949</t>
  </si>
  <si>
    <t>TARUGO 1012 150 X 150 11.500M</t>
  </si>
  <si>
    <t>Total Gerado</t>
  </si>
  <si>
    <t>BARRA PERDIDA POR DATA</t>
  </si>
  <si>
    <t>Sem Sliter</t>
  </si>
  <si>
    <t>Setor</t>
  </si>
  <si>
    <t>Bitola</t>
  </si>
  <si>
    <t>Data</t>
  </si>
  <si>
    <t>VIGA U</t>
  </si>
  <si>
    <t>U4</t>
  </si>
  <si>
    <t>U 4" 1ª ALMA (6m/2000kg)</t>
  </si>
  <si>
    <t>K3</t>
  </si>
  <si>
    <t>K 3 x 3/16" (12m/2000kg)</t>
  </si>
  <si>
    <t>11545162</t>
  </si>
  <si>
    <t>1000067624</t>
  </si>
  <si>
    <t>LIC9</t>
  </si>
  <si>
    <t>CADEIRA 9 H</t>
  </si>
  <si>
    <t>TARUGO 1421 150 X 150 11.900M</t>
  </si>
  <si>
    <t xml:space="preserve">F: SUCATA ENTRE AS GAIOLAS 09 E10._x000D_
</t>
  </si>
  <si>
    <t xml:space="preserve">C1: BARRA BATEU NA LATERAL DA GUIA DE ENTRADA DA G.10._x000D_
C2: BARRA SAIU COM A PONTA TORTA DA G.09._x000D_
C3: LATERAL DA GUIA DA G.09 ABRIU DURANTE A LAMINAÇÃO._x000D_
</t>
  </si>
  <si>
    <t>A: RETIRANDO SUCATA, AJUSTE NA GUIA DE SAÍDA DA G.09 E FIXANDO A LATERAL PARA NÃO ABRIR NOVAMENTE.</t>
  </si>
  <si>
    <t>K75</t>
  </si>
  <si>
    <t>K 75 x 5 (12m/4000kg)</t>
  </si>
  <si>
    <t>11552350</t>
  </si>
  <si>
    <t>TARUGO 1622 150 X 150 11.300M</t>
  </si>
  <si>
    <t>13:59</t>
  </si>
  <si>
    <t>1000067928</t>
  </si>
  <si>
    <t xml:space="preserve">CAUSA 1: CABEÇA CABEÇA DA BARRA COLIDIU COM O PR3 E VIROU NO LEITO._x000D_
CAUSA 2: CABEÇA DA BARRA VIROU NA GUIA DE SAIDA DA GAIOLA 14 DEVIDO A MESMA TER DESLOCADO._x000D_
CAUSA 3: SOBRE BASE DA GUIA SOLTA._x000D_
CAUSA 4:DEVIDO A FOLGA EXCESSIVA ENTRE O BARRÃO E A SOBRE BASE._x000D_
</t>
  </si>
  <si>
    <t>AÇÃO: FOI CORTADO UM PEDAÇO DE BARRA NA TES. SH3. CORTADO BARRAS NO LEITO. ALINHANDO A GUIA DE SAIDA E COLOCADO CALÇO DE 7mm ENTRE O BARRÃO E A SOBRE BASE.</t>
  </si>
  <si>
    <t>11:58</t>
  </si>
  <si>
    <t>DESALINHAMENTO DE GUIA</t>
  </si>
  <si>
    <t>LDC3</t>
  </si>
  <si>
    <t>CADEIRA 3 H</t>
  </si>
  <si>
    <t>FATO: BARRA ARRANCOU A GUIA DE SAIDA DA GAIOLA 3.</t>
  </si>
  <si>
    <t>CAUSA 1: GUIA DE SAIDA MAIS FECHADA QUE PEDE O PLANO DE CÂMBIO NA ALTURA. ( P.C: 72mm REAL: 83mm. )_x000D_
CAUSA 2: FOI INSERIDO UM CALÇO DE 9mm COM A INTENÇÃO DE SEGURAR UMA PROVAVEL PONTA BAIXA DA SAIDA DO CILINDRO._x000D_
CAUSA 3: FALHA OPERACIONAL DEVIDO FALTA DE MEDIÇÃO NA ALTURA APOS INSERÇÃO DO CALÇO</t>
  </si>
  <si>
    <t xml:space="preserve">AÇÃO: RETIRADA DA SUCATA. FOI RETIRADO O CALÇO. </t>
  </si>
  <si>
    <t>14:25</t>
  </si>
  <si>
    <t>FATO: BARRA ARRANCOU A GUIA DE SAIDA DA GAIOLA 8.</t>
  </si>
  <si>
    <t>CAUSA 1: GUIA ESTAVA MAIS FECHADA QUE PEDE O PLANO DE CÂMBIO. ( P.C: 55mm REAL: 49mm)_x000D_
CAUSA 2: GUIA FOI MONTADA COM ESTATICO ERRADO.</t>
  </si>
  <si>
    <t>AÇÃO: RETIRADA DA SUCATA. TROCA DA GUIA._x000D_
OBS.: FOI NECESSARIO LEVAR A GAIOLA 8 PARA OFICINA PARA TROCA DA GUIA._x000D_
OBS.: FOI TROCADA A GUIA DE ENTRADA DA GAIOLA 15 DEVIDO O ESTATICO GASTO, O MESMO ESTA COM DUAS MEDIDAS.</t>
  </si>
  <si>
    <t>SEM SLITER</t>
  </si>
  <si>
    <t>COM SLITER</t>
  </si>
  <si>
    <t>SLITER</t>
  </si>
  <si>
    <t>PEÇA PERDIDA- TURMA/FAMILIA</t>
  </si>
  <si>
    <t>Sliter</t>
  </si>
  <si>
    <t>FREQ</t>
  </si>
  <si>
    <t>FREQ ACUM</t>
  </si>
  <si>
    <t>BARRA PERDIDA- PRODUTO</t>
  </si>
  <si>
    <t>BARRA PERDIDA- MOMENTO</t>
  </si>
  <si>
    <t>BARRA PERDIDA- RESPONSABILIDADE</t>
  </si>
  <si>
    <t>RESPONSÁVEL</t>
  </si>
  <si>
    <t>BARRA PERDIDA POR EQUIPAMENTO</t>
  </si>
  <si>
    <t>BL/BP</t>
  </si>
  <si>
    <t>Produto</t>
  </si>
  <si>
    <t>META 500</t>
  </si>
  <si>
    <t>BL/BP- BITOLA</t>
  </si>
  <si>
    <t>BL/BP- DIÁRIO</t>
  </si>
  <si>
    <t>META 500 (SEM SLITER)</t>
  </si>
  <si>
    <t>PRODUTOS BENCHMARK BL/BP</t>
  </si>
  <si>
    <t>OCORRÊNCIAS</t>
  </si>
  <si>
    <t>AÇÃO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</si>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</sst>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b/>
      <sz val="9"/>
      <name val="MS Sans Serif"/>
      <family val="2"/>
    </font>
    <font>
      <sz val="14"/>
      <name val="MS Sans Serif"/>
    </font>
    <font>
      <b/>
      <sz val="14"/>
      <color rgb="FF000000"/>
      <name val="Arial"/>
      <family val="2"/>
    </font>
    <font>
      <sz val="14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1" xfId="0" applyBorder="1"/>
    <xf numFmtId="0" fontId="0" fillId="0" borderId="1" xfId="0" applyNumberFormat="1" applyBorder="1"/>
    <xf numFmtId="1" fontId="0" fillId="0" borderId="1" xfId="0" applyNumberFormat="1" applyBorder="1"/>
    <xf numFmtId="14" fontId="0" fillId="0" borderId="1" xfId="0" applyNumberFormat="1" applyBorder="1"/>
    <xf numFmtId="0" fontId="0" fillId="0" borderId="0" xfId="0" quotePrefix="1" applyNumberFormat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/>
    <xf numFmtId="9" fontId="0" fillId="0" borderId="0" xfId="0" applyNumberFormat="1"/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readingOrder="1"/>
    </xf>
    <xf numFmtId="0" fontId="4" fillId="0" borderId="0" xfId="0" applyFont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BL/BP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'D1'!$C$2</c:f>
              <c:strCache>
                <c:ptCount val="1"/>
                <c:pt idx="0">
                  <c:v>COM SLITER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#REF!</c:f>
            </c:multiLvlStrRef>
          </c:cat>
          <c:val>
            <c:numRef>
              <c:f>'D1'!$C$3:$C$8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483-417A-9186-AFB77FA52067}"/>
            </c:ext>
          </c:extLst>
        </c:ser>
        <c:ser>
          <c:idx val="2"/>
          <c:order val="1"/>
          <c:tx>
            <c:strRef>
              <c:f>'D1'!$D$2</c:f>
              <c:strCache>
                <c:ptCount val="1"/>
                <c:pt idx="0">
                  <c:v>SEM SLITER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#REF!</c:f>
            </c:multiLvlStrRef>
          </c:cat>
          <c:val>
            <c:numRef>
              <c:f>'D1'!$D$3:$D$8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6483-417A-9186-AFB77FA52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147112"/>
        <c:axId val="367145544"/>
      </c:barChart>
      <c:lineChart>
        <c:grouping val="standard"/>
        <c:varyColors val="0"/>
        <c:ser>
          <c:idx val="3"/>
          <c:order val="2"/>
          <c:tx>
            <c:strRef>
              <c:f>'D1'!$E$2</c:f>
              <c:strCache>
                <c:ptCount val="1"/>
                <c:pt idx="0">
                  <c:v>META 500 (SEM SLITER)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83-417A-9186-AFB77FA520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'D1'!$A$3:$A$8</c:f>
              <c:numCache>
                <c:formatCode>General</c:formatCode>
                <c:ptCount val="6"/>
              </c:numCache>
            </c:numRef>
          </c:cat>
          <c:val>
            <c:numRef>
              <c:f>'D1'!$E$3:$E$8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83-417A-9186-AFB77FA52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147112"/>
        <c:axId val="367145544"/>
      </c:lineChart>
      <c:catAx>
        <c:axId val="36714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5544"/>
        <c:crosses val="autoZero"/>
        <c:auto val="1"/>
        <c:lblAlgn val="ctr"/>
        <c:lblOffset val="100"/>
        <c:noMultiLvlLbl val="0"/>
      </c:catAx>
      <c:valAx>
        <c:axId val="36714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711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BL/BP-</a:t>
            </a:r>
            <a:r>
              <a:rPr lang="en-US" baseline="0"/>
              <a:t> </a:t>
            </a:r>
            <a:r>
              <a:rPr lang="en-US"/>
              <a:t>DIÁRIO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'D2'!$B$2</c:f>
              <c:strCache>
                <c:ptCount val="1"/>
                <c:pt idx="0">
                  <c:v>BL/BP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'D2'!$B$3:$B$33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9CCC-4C66-811C-0AE8C0B16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141232"/>
        <c:axId val="367147896"/>
      </c:barChart>
      <c:lineChart>
        <c:grouping val="standard"/>
        <c:varyColors val="0"/>
        <c:ser>
          <c:idx val="2"/>
          <c:order val="1"/>
          <c:tx>
            <c:strRef>
              <c:f>'D2'!$C$2</c:f>
              <c:strCache>
                <c:ptCount val="1"/>
                <c:pt idx="0">
                  <c:v>META 500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9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CC-4C66-811C-0AE8C0B1655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'D2'!$C$3:$C$33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CC-4C66-811C-0AE8C0B16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141232"/>
        <c:axId val="367147896"/>
      </c:lineChart>
      <c:catAx>
        <c:axId val="36714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7896"/>
        <c:crosses val="autoZero"/>
        <c:auto val="1"/>
        <c:lblAlgn val="ctr"/>
        <c:lblOffset val="100"/>
        <c:noMultiLvlLbl val="0"/>
      </c:catAx>
      <c:valAx>
        <c:axId val="367147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123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BL/BP- BITOLA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'D3'!#REF!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06D-4BEA-864F-F21EFB2E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140448"/>
        <c:axId val="367142408"/>
      </c:barChart>
      <c:catAx>
        <c:axId val="3671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2408"/>
        <c:crosses val="autoZero"/>
        <c:auto val="1"/>
        <c:lblAlgn val="ctr"/>
        <c:lblOffset val="100"/>
        <c:noMultiLvlLbl val="0"/>
      </c:catAx>
      <c:valAx>
        <c:axId val="36714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0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BENCHMARK BL/BP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'D4'!#REF!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64A-4A2C-AD78-F7AC4F3A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146328"/>
        <c:axId val="367142800"/>
      </c:barChart>
      <c:catAx>
        <c:axId val="36714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2800"/>
        <c:crosses val="autoZero"/>
        <c:auto val="1"/>
        <c:lblAlgn val="ctr"/>
        <c:lblOffset val="100"/>
        <c:noMultiLvlLbl val="0"/>
      </c:catAx>
      <c:valAx>
        <c:axId val="36714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146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BARRA PERDIDA- BITOLA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'D5'!#REF!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2E0-4B4C-8B3A-8B2BDC57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56264"/>
        <c:axId val="371953128"/>
      </c:barChart>
      <c:lineChart>
        <c:grouping val="standard"/>
        <c:varyColors val="0"/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'D5'!#REF!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2E0-4B4C-8B3A-8B2BDC576731}"/>
            </c:ext>
          </c:extLst>
        </c:ser>
        <c:ser>
          <c:idx val="2"/>
          <c:order val="2"/>
          <c:val>
            <c:numRef>
              <c:f>'D5'!#REF!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'D5'!#REF!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9EC-4F93-ACFB-52767E298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956264"/>
        <c:axId val="371953128"/>
      </c:lineChart>
      <c:catAx>
        <c:axId val="37195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3128"/>
        <c:crosses val="autoZero"/>
        <c:auto val="1"/>
        <c:lblAlgn val="ctr"/>
        <c:lblOffset val="100"/>
        <c:noMultiLvlLbl val="0"/>
      </c:catAx>
      <c:valAx>
        <c:axId val="371953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6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BARRA PERDIDA- EQUIPAMENTO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'D6'!$B$2</c:f>
              <c:strCache>
                <c:ptCount val="1"/>
                <c:pt idx="0">
                  <c:v>Sem Sliter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'D6'!#REF!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82-46F0-880B-46A58F531256}"/>
            </c:ext>
          </c:extLst>
        </c:ser>
        <c:ser>
          <c:idx val="1"/>
          <c:order val="1"/>
          <c:tx>
            <c:strRef>
              <c:f>'D6'!$C$2</c:f>
              <c:strCache>
                <c:ptCount val="1"/>
                <c:pt idx="0">
                  <c:v>Sliter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'D6'!#REF!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B82-46F0-880B-46A58F53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55872"/>
        <c:axId val="371955480"/>
      </c:barChart>
      <c:catAx>
        <c:axId val="3719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5480"/>
        <c:crosses val="autoZero"/>
        <c:auto val="1"/>
        <c:lblAlgn val="ctr"/>
        <c:lblOffset val="100"/>
        <c:noMultiLvlLbl val="0"/>
      </c:catAx>
      <c:valAx>
        <c:axId val="37195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58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BARRA PERDIDA- DIÁRIA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5028394178000484E-2"/>
          <c:y val="0.17001923343008077"/>
          <c:w val="0.92293303832888796"/>
          <c:h val="0.512814060389895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'D7'!$B$2</c:f>
              <c:strCache>
                <c:ptCount val="1"/>
                <c:pt idx="0">
                  <c:v>SEM SLITER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'D7'!$A$3:$A$34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Total Gerado</c:v>
                </c:pt>
              </c:strCache>
            </c:strRef>
          </c:cat>
          <c:val>
            <c:numRef>
              <c:f>'D7'!$B$3:$B$34</c:f>
              <c:numCache>
                <c:formatCode>General</c:formatCode>
                <c:ptCount val="32"/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B-4E9B-BF64-57AA3E58BB53}"/>
            </c:ext>
          </c:extLst>
        </c:ser>
        <c:ser>
          <c:idx val="1"/>
          <c:order val="1"/>
          <c:tx>
            <c:strRef>
              <c:f>'D7'!$C$2</c:f>
              <c:strCache>
                <c:ptCount val="1"/>
                <c:pt idx="0">
                  <c:v>SLITER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dLbl>
              <c:idx val="31"/>
              <c:layout>
                <c:manualLayout>
                  <c:x val="7.0671378091872765E-3"/>
                  <c:y val="5.13808502357448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FB-4E9B-BF64-57AA3E58BB53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'D7'!$A$3:$A$34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Total Gerado</c:v>
                </c:pt>
              </c:strCache>
            </c:strRef>
          </c:cat>
          <c:val>
            <c:numRef>
              <c:f>'D7'!$C$3:$C$34</c:f>
              <c:numCache>
                <c:formatCode>General</c:formatCode>
                <c:ptCount val="32"/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B-4E9B-BF64-57AA3E58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5"/>
        <c:overlap val="-54"/>
        <c:axId val="371954304"/>
        <c:axId val="371953520"/>
      </c:barChart>
      <c:catAx>
        <c:axId val="37195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3520"/>
        <c:crosses val="autoZero"/>
        <c:auto val="1"/>
        <c:lblAlgn val="ctr"/>
        <c:lblOffset val="100"/>
        <c:noMultiLvlLbl val="0"/>
      </c:catAx>
      <c:valAx>
        <c:axId val="37195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43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PEÇA PERDIDA- TURMA/FAMILIA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'D8'!$C$1:$C$2</c:f>
              <c:strCache>
                <c:ptCount val="2"/>
                <c:pt idx="1">
                  <c:v>SUCATA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'D8'!#REF!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6E7-469B-A09D-022B5B8C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55088"/>
        <c:axId val="371956656"/>
      </c:barChart>
      <c:catAx>
        <c:axId val="3719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6656"/>
        <c:crosses val="autoZero"/>
        <c:auto val="1"/>
        <c:lblAlgn val="ctr"/>
        <c:lblOffset val="100"/>
        <c:noMultiLvlLbl val="0"/>
      </c:catAx>
      <c:valAx>
        <c:axId val="37195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5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MOMENTO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'D9'!$C$1:$C$2</c:f>
              <c:strCache>
                <c:ptCount val="2"/>
                <c:pt idx="1">
                  <c:v>SUCATA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'D9'!#REF!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2C-4AA4-9EFF-6FA213A8A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49992"/>
        <c:axId val="371950384"/>
      </c:barChart>
      <c:catAx>
        <c:axId val="37194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0384"/>
        <c:crosses val="autoZero"/>
        <c:auto val="1"/>
        <c:lblAlgn val="ctr"/>
        <c:lblOffset val="100"/>
        <c:noMultiLvlLbl val="0"/>
      </c:catAx>
      <c:valAx>
        <c:axId val="37195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49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'D10'!$B$1:$B$2</c:f>
              <c:strCache>
                <c:ptCount val="2"/>
                <c:pt idx="1">
                  <c:v>SUCATA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'D10'!#REF!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'D10'!#REF!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977-41FB-95B6-A12F5343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53912"/>
        <c:axId val="368790232"/>
      </c:barChart>
      <c:catAx>
        <c:axId val="37195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790232"/>
        <c:crosses val="autoZero"/>
        <c:auto val="1"/>
        <c:lblAlgn val="ctr"/>
        <c:lblOffset val="100"/>
        <c:noMultiLvlLbl val="0"/>
      </c:catAx>
      <c:valAx>
        <c:axId val="368790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9539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7</xdr:row>
      <xdr:rowOff>142875</xdr:rowOff>
    </xdr:from>
    <xdr:to>
      <xdr:col>29</xdr:col>
      <xdr:colOff>0</xdr:colOff>
      <xdr:row>24</xdr:row>
      <xdr:rowOff>147075</xdr:rowOff>
    </xdr:to>
    <xdr:graphicFrame macro="">
      <xdr:nvGraphicFramePr>
        <xdr:cNvPr id="142483" name="Gráfico 7">
          <a:extLst>
            <a:ext uri="{FF2B5EF4-FFF2-40B4-BE49-F238E27FC236}">
              <a16:creationId xmlns:a16="http://schemas.microsoft.com/office/drawing/2014/main" id="{6683DC43-BCA5-4C18-89DB-FAC502C01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2239</xdr:colOff>
      <xdr:row>7</xdr:row>
      <xdr:rowOff>141194</xdr:rowOff>
    </xdr:from>
    <xdr:to>
      <xdr:col>14</xdr:col>
      <xdr:colOff>5939</xdr:colOff>
      <xdr:row>24</xdr:row>
      <xdr:rowOff>145676</xdr:rowOff>
    </xdr:to>
    <xdr:graphicFrame macro="">
      <xdr:nvGraphicFramePr>
        <xdr:cNvPr id="142484" name="Gráfico 8">
          <a:extLst>
            <a:ext uri="{FF2B5EF4-FFF2-40B4-BE49-F238E27FC236}">
              <a16:creationId xmlns:a16="http://schemas.microsoft.com/office/drawing/2014/main" id="{F911F9CC-CC16-40F9-9693-41D4B2CA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2240</xdr:colOff>
      <xdr:row>25</xdr:row>
      <xdr:rowOff>131108</xdr:rowOff>
    </xdr:from>
    <xdr:to>
      <xdr:col>13</xdr:col>
      <xdr:colOff>587375</xdr:colOff>
      <xdr:row>42</xdr:row>
      <xdr:rowOff>135308</xdr:rowOff>
    </xdr:to>
    <xdr:graphicFrame macro="">
      <xdr:nvGraphicFramePr>
        <xdr:cNvPr id="142485" name="Gráfico 9">
          <a:extLst>
            <a:ext uri="{FF2B5EF4-FFF2-40B4-BE49-F238E27FC236}">
              <a16:creationId xmlns:a16="http://schemas.microsoft.com/office/drawing/2014/main" id="{E9397CDC-D48A-4771-A546-0D6226BDC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26</xdr:row>
      <xdr:rowOff>9524</xdr:rowOff>
    </xdr:from>
    <xdr:to>
      <xdr:col>29</xdr:col>
      <xdr:colOff>0</xdr:colOff>
      <xdr:row>43</xdr:row>
      <xdr:rowOff>13724</xdr:rowOff>
    </xdr:to>
    <xdr:graphicFrame macro="">
      <xdr:nvGraphicFramePr>
        <xdr:cNvPr id="142486" name="Gráfico 10">
          <a:extLst>
            <a:ext uri="{FF2B5EF4-FFF2-40B4-BE49-F238E27FC236}">
              <a16:creationId xmlns:a16="http://schemas.microsoft.com/office/drawing/2014/main" id="{B1D20385-3D62-44BA-8C14-09B1F0F8F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49305</xdr:colOff>
      <xdr:row>44</xdr:row>
      <xdr:rowOff>6164</xdr:rowOff>
    </xdr:from>
    <xdr:to>
      <xdr:col>13</xdr:col>
      <xdr:colOff>587375</xdr:colOff>
      <xdr:row>61</xdr:row>
      <xdr:rowOff>10364</xdr:rowOff>
    </xdr:to>
    <xdr:graphicFrame macro="">
      <xdr:nvGraphicFramePr>
        <xdr:cNvPr id="142487" name="Gráfico 11">
          <a:extLst>
            <a:ext uri="{FF2B5EF4-FFF2-40B4-BE49-F238E27FC236}">
              <a16:creationId xmlns:a16="http://schemas.microsoft.com/office/drawing/2014/main" id="{7EED2A37-B8A8-4F83-AC36-68074CF34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7282</xdr:colOff>
      <xdr:row>44</xdr:row>
      <xdr:rowOff>17369</xdr:rowOff>
    </xdr:from>
    <xdr:to>
      <xdr:col>29</xdr:col>
      <xdr:colOff>0</xdr:colOff>
      <xdr:row>61</xdr:row>
      <xdr:rowOff>21569</xdr:rowOff>
    </xdr:to>
    <xdr:graphicFrame macro="">
      <xdr:nvGraphicFramePr>
        <xdr:cNvPr id="142488" name="Gráfico 12">
          <a:extLst>
            <a:ext uri="{FF2B5EF4-FFF2-40B4-BE49-F238E27FC236}">
              <a16:creationId xmlns:a16="http://schemas.microsoft.com/office/drawing/2014/main" id="{6AFCE5B2-4B46-4A01-8A3E-FC7C6C95E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7843</xdr:colOff>
      <xdr:row>61</xdr:row>
      <xdr:rowOff>150159</xdr:rowOff>
    </xdr:from>
    <xdr:to>
      <xdr:col>13</xdr:col>
      <xdr:colOff>587374</xdr:colOff>
      <xdr:row>78</xdr:row>
      <xdr:rowOff>154359</xdr:rowOff>
    </xdr:to>
    <xdr:graphicFrame macro="">
      <xdr:nvGraphicFramePr>
        <xdr:cNvPr id="142489" name="Gráfico 13">
          <a:extLst>
            <a:ext uri="{FF2B5EF4-FFF2-40B4-BE49-F238E27FC236}">
              <a16:creationId xmlns:a16="http://schemas.microsoft.com/office/drawing/2014/main" id="{234649B5-61A0-423D-A4A1-BBC78DCF2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10644</xdr:colOff>
      <xdr:row>61</xdr:row>
      <xdr:rowOff>135591</xdr:rowOff>
    </xdr:from>
    <xdr:to>
      <xdr:col>29</xdr:col>
      <xdr:colOff>0</xdr:colOff>
      <xdr:row>78</xdr:row>
      <xdr:rowOff>139791</xdr:rowOff>
    </xdr:to>
    <xdr:graphicFrame macro="">
      <xdr:nvGraphicFramePr>
        <xdr:cNvPr id="142490" name="Gráfico 14">
          <a:extLst>
            <a:ext uri="{FF2B5EF4-FFF2-40B4-BE49-F238E27FC236}">
              <a16:creationId xmlns:a16="http://schemas.microsoft.com/office/drawing/2014/main" id="{11FF77A4-DF81-4A07-9EEC-390A1308E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79</xdr:row>
      <xdr:rowOff>151838</xdr:rowOff>
    </xdr:from>
    <xdr:to>
      <xdr:col>13</xdr:col>
      <xdr:colOff>587375</xdr:colOff>
      <xdr:row>96</xdr:row>
      <xdr:rowOff>156038</xdr:rowOff>
    </xdr:to>
    <xdr:graphicFrame macro="">
      <xdr:nvGraphicFramePr>
        <xdr:cNvPr id="142491" name="Gráfico 15">
          <a:extLst>
            <a:ext uri="{FF2B5EF4-FFF2-40B4-BE49-F238E27FC236}">
              <a16:creationId xmlns:a16="http://schemas.microsoft.com/office/drawing/2014/main" id="{50007876-B5D1-45B7-9AFC-A742E2D03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596339</xdr:colOff>
      <xdr:row>79</xdr:row>
      <xdr:rowOff>146235</xdr:rowOff>
    </xdr:from>
    <xdr:to>
      <xdr:col>29</xdr:col>
      <xdr:colOff>0</xdr:colOff>
      <xdr:row>96</xdr:row>
      <xdr:rowOff>150435</xdr:rowOff>
    </xdr:to>
    <xdr:graphicFrame macro="">
      <xdr:nvGraphicFramePr>
        <xdr:cNvPr id="142492" name="Gráfico 16">
          <a:extLst>
            <a:ext uri="{FF2B5EF4-FFF2-40B4-BE49-F238E27FC236}">
              <a16:creationId xmlns:a16="http://schemas.microsoft.com/office/drawing/2014/main" id="{41082DBE-FBBA-4824-ADAD-3E37821F5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opLeftCell="R1" zoomScale="90" zoomScaleNormal="90" workbookViewId="0">
      <selection activeCell="W23" sqref="W23"/>
    </sheetView>
  </sheetViews>
  <sheetFormatPr defaultRowHeight="12.75" x14ac:dyDescent="0.2"/>
  <cols>
    <col min="2" max="2" width="10.140625" bestFit="1" customWidth="1"/>
    <col min="12" max="12" width="25.85546875" bestFit="1" customWidth="1"/>
    <col min="19" max="19" width="28.140625" bestFit="1" customWidth="1"/>
    <col min="23" max="23" width="28.42578125" bestFit="1" customWidth="1"/>
    <col min="31" max="31" width="255.710937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 t="s">
        <v>32</v>
      </c>
      <c r="B2" s="2">
        <v>42797</v>
      </c>
      <c r="C2" s="1" t="s">
        <v>50</v>
      </c>
      <c r="D2" s="1" t="s">
        <v>98</v>
      </c>
      <c r="E2" s="1" t="s">
        <v>99</v>
      </c>
      <c r="G2" s="1" t="s">
        <v>77</v>
      </c>
      <c r="H2" s="1" t="s">
        <v>83</v>
      </c>
      <c r="I2" s="1">
        <v>180</v>
      </c>
      <c r="J2" s="1" t="s">
        <v>36</v>
      </c>
      <c r="K2" s="1" t="s">
        <v>89</v>
      </c>
      <c r="L2" s="1" t="s">
        <v>100</v>
      </c>
      <c r="M2" s="1" t="s">
        <v>90</v>
      </c>
      <c r="N2" s="1" t="s">
        <v>95</v>
      </c>
      <c r="O2" s="1">
        <v>1</v>
      </c>
      <c r="P2" s="1">
        <v>1.448</v>
      </c>
      <c r="Q2" s="1" t="s">
        <v>39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101</v>
      </c>
      <c r="W2" s="1" t="s">
        <v>102</v>
      </c>
      <c r="X2" s="1" t="s">
        <v>103</v>
      </c>
      <c r="Y2" s="1" t="s">
        <v>104</v>
      </c>
      <c r="Z2" s="1" t="s">
        <v>41</v>
      </c>
      <c r="AA2" s="1" t="s">
        <v>91</v>
      </c>
      <c r="AD2" s="1" t="s">
        <v>105</v>
      </c>
      <c r="AE2" s="1" t="s">
        <v>106</v>
      </c>
      <c r="AF2" s="1" t="s">
        <v>107</v>
      </c>
    </row>
    <row r="3" spans="1:32" x14ac:dyDescent="0.2">
      <c r="A3" s="1" t="s">
        <v>32</v>
      </c>
      <c r="B3" s="2">
        <v>42800</v>
      </c>
      <c r="C3" s="1" t="s">
        <v>50</v>
      </c>
      <c r="D3" s="1" t="s">
        <v>98</v>
      </c>
      <c r="E3" s="1" t="s">
        <v>99</v>
      </c>
      <c r="G3" s="1" t="s">
        <v>147</v>
      </c>
      <c r="H3" s="1" t="s">
        <v>148</v>
      </c>
      <c r="I3" s="1">
        <v>35</v>
      </c>
      <c r="J3" s="1" t="s">
        <v>125</v>
      </c>
      <c r="K3" s="1" t="s">
        <v>126</v>
      </c>
      <c r="L3" s="1" t="s">
        <v>136</v>
      </c>
      <c r="M3" s="1" t="s">
        <v>137</v>
      </c>
      <c r="N3" s="1" t="s">
        <v>146</v>
      </c>
      <c r="O3" s="1">
        <v>1</v>
      </c>
      <c r="P3" s="1">
        <v>2.1110000000000002</v>
      </c>
      <c r="Q3" s="1" t="s">
        <v>39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143</v>
      </c>
      <c r="Y3" s="1" t="s">
        <v>144</v>
      </c>
      <c r="Z3" s="1" t="s">
        <v>41</v>
      </c>
      <c r="AA3" s="1" t="s">
        <v>124</v>
      </c>
      <c r="AD3" s="1" t="s">
        <v>149</v>
      </c>
      <c r="AE3" s="1" t="s">
        <v>150</v>
      </c>
      <c r="AF3" s="1" t="s">
        <v>151</v>
      </c>
    </row>
    <row r="4" spans="1:32" x14ac:dyDescent="0.2">
      <c r="A4" s="1" t="s">
        <v>32</v>
      </c>
      <c r="B4" s="2">
        <v>42800</v>
      </c>
      <c r="C4" s="1" t="s">
        <v>50</v>
      </c>
      <c r="D4" s="1" t="s">
        <v>98</v>
      </c>
      <c r="E4" s="1" t="s">
        <v>99</v>
      </c>
      <c r="G4" s="1" t="s">
        <v>152</v>
      </c>
      <c r="H4" s="1" t="s">
        <v>153</v>
      </c>
      <c r="I4" s="1">
        <v>43</v>
      </c>
      <c r="J4" s="1" t="s">
        <v>125</v>
      </c>
      <c r="K4" s="1" t="s">
        <v>126</v>
      </c>
      <c r="L4" s="1" t="s">
        <v>136</v>
      </c>
      <c r="M4" s="1" t="s">
        <v>137</v>
      </c>
      <c r="N4" s="1" t="s">
        <v>146</v>
      </c>
      <c r="O4" s="1">
        <v>1</v>
      </c>
      <c r="P4" s="1">
        <v>2.1110000000000002</v>
      </c>
      <c r="Q4" s="1" t="s">
        <v>39</v>
      </c>
      <c r="R4" s="1" t="s">
        <v>58</v>
      </c>
      <c r="S4" s="1" t="s">
        <v>59</v>
      </c>
      <c r="T4" s="1" t="s">
        <v>60</v>
      </c>
      <c r="U4" s="1" t="s">
        <v>61</v>
      </c>
      <c r="V4" s="1" t="s">
        <v>62</v>
      </c>
      <c r="W4" s="1" t="s">
        <v>63</v>
      </c>
      <c r="X4" s="1" t="s">
        <v>143</v>
      </c>
      <c r="Y4" s="1" t="s">
        <v>144</v>
      </c>
      <c r="Z4" s="1" t="s">
        <v>41</v>
      </c>
      <c r="AA4" s="1" t="s">
        <v>124</v>
      </c>
      <c r="AD4" s="1" t="s">
        <v>154</v>
      </c>
      <c r="AE4" s="1" t="s">
        <v>155</v>
      </c>
      <c r="AF4" s="1" t="s">
        <v>156</v>
      </c>
    </row>
    <row r="5" spans="1:32" x14ac:dyDescent="0.2">
      <c r="A5" s="1" t="s">
        <v>32</v>
      </c>
      <c r="B5" s="2">
        <v>42801</v>
      </c>
      <c r="C5" s="1" t="s">
        <v>33</v>
      </c>
      <c r="D5" s="1" t="s">
        <v>47</v>
      </c>
      <c r="E5" s="1" t="s">
        <v>48</v>
      </c>
      <c r="G5" s="1" t="s">
        <v>92</v>
      </c>
      <c r="H5" s="1" t="s">
        <v>158</v>
      </c>
      <c r="I5" s="1">
        <v>20</v>
      </c>
      <c r="J5" s="1" t="s">
        <v>125</v>
      </c>
      <c r="K5" s="1" t="s">
        <v>126</v>
      </c>
      <c r="L5" s="1" t="s">
        <v>136</v>
      </c>
      <c r="M5" s="1" t="s">
        <v>137</v>
      </c>
      <c r="N5" s="1" t="s">
        <v>157</v>
      </c>
      <c r="O5" s="1">
        <v>1</v>
      </c>
      <c r="P5" s="1">
        <v>2.1110000000000002</v>
      </c>
      <c r="Q5" s="1" t="s">
        <v>39</v>
      </c>
      <c r="R5" s="1" t="s">
        <v>37</v>
      </c>
      <c r="S5" s="1" t="s">
        <v>38</v>
      </c>
      <c r="T5" s="1" t="s">
        <v>43</v>
      </c>
      <c r="U5" s="1" t="s">
        <v>108</v>
      </c>
      <c r="V5" s="1" t="s">
        <v>62</v>
      </c>
      <c r="W5" s="1" t="s">
        <v>63</v>
      </c>
      <c r="X5" s="1" t="s">
        <v>159</v>
      </c>
      <c r="Y5" s="1" t="s">
        <v>160</v>
      </c>
      <c r="Z5" s="1" t="s">
        <v>41</v>
      </c>
      <c r="AA5" s="1" t="s">
        <v>124</v>
      </c>
      <c r="AD5" s="1" t="s">
        <v>161</v>
      </c>
      <c r="AE5" s="1" t="s">
        <v>162</v>
      </c>
      <c r="AF5" s="1" t="s">
        <v>163</v>
      </c>
    </row>
    <row r="6" spans="1:32" x14ac:dyDescent="0.2">
      <c r="A6" s="1" t="s">
        <v>32</v>
      </c>
      <c r="B6" s="2">
        <v>42801</v>
      </c>
      <c r="C6" s="1" t="s">
        <v>33</v>
      </c>
      <c r="D6" s="1" t="s">
        <v>47</v>
      </c>
      <c r="E6" s="1" t="s">
        <v>48</v>
      </c>
      <c r="G6" s="1" t="s">
        <v>164</v>
      </c>
      <c r="H6" s="1" t="s">
        <v>165</v>
      </c>
      <c r="I6" s="1">
        <v>55</v>
      </c>
      <c r="J6" s="1" t="s">
        <v>125</v>
      </c>
      <c r="K6" s="1" t="s">
        <v>126</v>
      </c>
      <c r="L6" s="1" t="s">
        <v>136</v>
      </c>
      <c r="M6" s="1" t="s">
        <v>137</v>
      </c>
      <c r="N6" s="1" t="s">
        <v>166</v>
      </c>
      <c r="O6" s="1">
        <v>1</v>
      </c>
      <c r="P6" s="1">
        <v>2.1110000000000002</v>
      </c>
      <c r="Q6" s="1" t="s">
        <v>39</v>
      </c>
      <c r="R6" s="1" t="s">
        <v>37</v>
      </c>
      <c r="S6" s="1" t="s">
        <v>38</v>
      </c>
      <c r="T6" s="1" t="s">
        <v>60</v>
      </c>
      <c r="U6" s="1" t="s">
        <v>61</v>
      </c>
      <c r="V6" s="1" t="s">
        <v>62</v>
      </c>
      <c r="W6" s="1" t="s">
        <v>63</v>
      </c>
      <c r="X6" s="1" t="s">
        <v>68</v>
      </c>
      <c r="Y6" s="1" t="s">
        <v>69</v>
      </c>
      <c r="Z6" s="1" t="s">
        <v>41</v>
      </c>
      <c r="AA6" s="1" t="s">
        <v>124</v>
      </c>
      <c r="AD6" s="1" t="s">
        <v>167</v>
      </c>
      <c r="AE6" s="1" t="s">
        <v>168</v>
      </c>
      <c r="AF6" s="1" t="s">
        <v>169</v>
      </c>
    </row>
    <row r="7" spans="1:32" x14ac:dyDescent="0.2">
      <c r="A7" s="1" t="s">
        <v>32</v>
      </c>
      <c r="B7" s="2">
        <v>42802</v>
      </c>
      <c r="C7" s="1" t="s">
        <v>50</v>
      </c>
      <c r="D7" s="1" t="s">
        <v>34</v>
      </c>
      <c r="E7" s="1" t="s">
        <v>35</v>
      </c>
      <c r="G7" s="1" t="s">
        <v>172</v>
      </c>
      <c r="H7" s="1" t="s">
        <v>173</v>
      </c>
      <c r="I7" s="1">
        <v>37</v>
      </c>
      <c r="J7" s="1" t="s">
        <v>125</v>
      </c>
      <c r="K7" s="1" t="s">
        <v>126</v>
      </c>
      <c r="L7" s="1" t="s">
        <v>136</v>
      </c>
      <c r="M7" s="1" t="s">
        <v>137</v>
      </c>
      <c r="N7" s="1" t="s">
        <v>174</v>
      </c>
      <c r="O7" s="1">
        <v>1</v>
      </c>
      <c r="P7" s="1">
        <v>2.1110000000000002</v>
      </c>
      <c r="Q7" s="1" t="s">
        <v>39</v>
      </c>
      <c r="R7" s="1" t="s">
        <v>84</v>
      </c>
      <c r="S7" s="1" t="s">
        <v>85</v>
      </c>
      <c r="T7" s="1" t="s">
        <v>43</v>
      </c>
      <c r="U7" s="1" t="s">
        <v>72</v>
      </c>
      <c r="V7" s="1" t="s">
        <v>62</v>
      </c>
      <c r="W7" s="1" t="s">
        <v>63</v>
      </c>
      <c r="X7" s="1" t="s">
        <v>96</v>
      </c>
      <c r="Y7" s="1" t="s">
        <v>97</v>
      </c>
      <c r="Z7" s="1" t="s">
        <v>41</v>
      </c>
      <c r="AA7" s="1" t="s">
        <v>124</v>
      </c>
      <c r="AD7" s="1" t="s">
        <v>175</v>
      </c>
      <c r="AE7" s="1" t="s">
        <v>176</v>
      </c>
      <c r="AF7" s="1" t="s">
        <v>177</v>
      </c>
    </row>
    <row r="8" spans="1:32" x14ac:dyDescent="0.2">
      <c r="A8" s="1" t="s">
        <v>32</v>
      </c>
      <c r="B8" s="2">
        <v>42803</v>
      </c>
      <c r="C8" s="1" t="s">
        <v>33</v>
      </c>
      <c r="D8" s="1" t="s">
        <v>51</v>
      </c>
      <c r="E8" s="1" t="s">
        <v>52</v>
      </c>
      <c r="G8" s="1" t="s">
        <v>184</v>
      </c>
      <c r="H8" s="1" t="s">
        <v>185</v>
      </c>
      <c r="I8" s="1">
        <v>108</v>
      </c>
      <c r="J8" s="1" t="s">
        <v>179</v>
      </c>
      <c r="K8" s="1" t="s">
        <v>180</v>
      </c>
      <c r="L8" s="1" t="s">
        <v>181</v>
      </c>
      <c r="M8" s="1" t="s">
        <v>137</v>
      </c>
      <c r="N8" s="1" t="s">
        <v>182</v>
      </c>
      <c r="O8" s="1">
        <v>1</v>
      </c>
      <c r="P8" s="1">
        <v>1.89</v>
      </c>
      <c r="Q8" s="1" t="s">
        <v>39</v>
      </c>
      <c r="R8" s="1" t="s">
        <v>58</v>
      </c>
      <c r="S8" s="1" t="s">
        <v>59</v>
      </c>
      <c r="T8" s="1" t="s">
        <v>60</v>
      </c>
      <c r="U8" s="1" t="s">
        <v>61</v>
      </c>
      <c r="V8" s="1" t="s">
        <v>101</v>
      </c>
      <c r="W8" s="1" t="s">
        <v>102</v>
      </c>
      <c r="X8" s="1" t="s">
        <v>103</v>
      </c>
      <c r="Y8" s="1" t="s">
        <v>104</v>
      </c>
      <c r="Z8" s="1" t="s">
        <v>66</v>
      </c>
      <c r="AA8" s="1" t="s">
        <v>183</v>
      </c>
      <c r="AD8" s="1" t="s">
        <v>186</v>
      </c>
      <c r="AE8" s="1" t="s">
        <v>187</v>
      </c>
      <c r="AF8" s="1" t="s">
        <v>188</v>
      </c>
    </row>
    <row r="9" spans="1:32" x14ac:dyDescent="0.2">
      <c r="A9" s="1" t="s">
        <v>32</v>
      </c>
      <c r="B9" s="2">
        <v>42803</v>
      </c>
      <c r="C9" s="1" t="s">
        <v>33</v>
      </c>
      <c r="D9" s="1" t="s">
        <v>51</v>
      </c>
      <c r="E9" s="1" t="s">
        <v>52</v>
      </c>
      <c r="G9" s="1" t="s">
        <v>185</v>
      </c>
      <c r="H9" s="1" t="s">
        <v>189</v>
      </c>
      <c r="I9" s="1">
        <v>44</v>
      </c>
      <c r="J9" s="1" t="s">
        <v>179</v>
      </c>
      <c r="K9" s="1" t="s">
        <v>180</v>
      </c>
      <c r="L9" s="1" t="s">
        <v>181</v>
      </c>
      <c r="M9" s="1" t="s">
        <v>137</v>
      </c>
      <c r="N9" s="1" t="s">
        <v>182</v>
      </c>
      <c r="O9" s="1">
        <v>1</v>
      </c>
      <c r="P9" s="1">
        <v>1.89</v>
      </c>
      <c r="Q9" s="1" t="s">
        <v>39</v>
      </c>
      <c r="R9" s="1" t="s">
        <v>58</v>
      </c>
      <c r="S9" s="1" t="s">
        <v>59</v>
      </c>
      <c r="T9" s="1" t="s">
        <v>60</v>
      </c>
      <c r="U9" s="1" t="s">
        <v>61</v>
      </c>
      <c r="V9" s="1" t="s">
        <v>101</v>
      </c>
      <c r="W9" s="1" t="s">
        <v>102</v>
      </c>
      <c r="X9" s="1" t="s">
        <v>190</v>
      </c>
      <c r="Y9" s="1" t="s">
        <v>65</v>
      </c>
      <c r="Z9" s="1" t="s">
        <v>66</v>
      </c>
      <c r="AA9" s="1" t="s">
        <v>183</v>
      </c>
      <c r="AD9" s="1" t="s">
        <v>191</v>
      </c>
      <c r="AE9" s="1" t="s">
        <v>192</v>
      </c>
      <c r="AF9" s="1" t="s">
        <v>193</v>
      </c>
    </row>
    <row r="10" spans="1:32" x14ac:dyDescent="0.2">
      <c r="A10" s="1" t="s">
        <v>32</v>
      </c>
      <c r="B10" s="2">
        <v>42803</v>
      </c>
      <c r="C10" s="1" t="s">
        <v>50</v>
      </c>
      <c r="D10" s="1" t="s">
        <v>34</v>
      </c>
      <c r="E10" s="1" t="s">
        <v>35</v>
      </c>
      <c r="G10" s="1" t="s">
        <v>195</v>
      </c>
      <c r="H10" s="1" t="s">
        <v>196</v>
      </c>
      <c r="I10" s="1">
        <v>108</v>
      </c>
      <c r="J10" s="1" t="s">
        <v>179</v>
      </c>
      <c r="K10" s="1" t="s">
        <v>180</v>
      </c>
      <c r="L10" s="1" t="s">
        <v>181</v>
      </c>
      <c r="M10" s="1" t="s">
        <v>137</v>
      </c>
      <c r="N10" s="1" t="s">
        <v>197</v>
      </c>
      <c r="O10" s="1">
        <v>2</v>
      </c>
      <c r="P10" s="1">
        <v>3.78</v>
      </c>
      <c r="Q10" s="1" t="s">
        <v>39</v>
      </c>
      <c r="R10" s="1" t="s">
        <v>37</v>
      </c>
      <c r="S10" s="1" t="s">
        <v>38</v>
      </c>
      <c r="T10" s="1" t="s">
        <v>43</v>
      </c>
      <c r="U10" s="1" t="s">
        <v>44</v>
      </c>
      <c r="V10" s="1" t="s">
        <v>62</v>
      </c>
      <c r="W10" s="1" t="s">
        <v>63</v>
      </c>
      <c r="X10" s="1" t="s">
        <v>68</v>
      </c>
      <c r="Y10" s="1" t="s">
        <v>69</v>
      </c>
      <c r="Z10" s="1" t="s">
        <v>41</v>
      </c>
      <c r="AA10" s="1" t="s">
        <v>183</v>
      </c>
      <c r="AD10" s="1" t="s">
        <v>198</v>
      </c>
      <c r="AE10" s="1" t="s">
        <v>199</v>
      </c>
      <c r="AF10" s="1" t="s">
        <v>200</v>
      </c>
    </row>
    <row r="11" spans="1:32" x14ac:dyDescent="0.2">
      <c r="A11" s="1" t="s">
        <v>32</v>
      </c>
      <c r="B11" s="2">
        <v>42803</v>
      </c>
      <c r="C11" s="1" t="s">
        <v>50</v>
      </c>
      <c r="D11" s="1" t="s">
        <v>34</v>
      </c>
      <c r="E11" s="1" t="s">
        <v>35</v>
      </c>
      <c r="G11" s="1" t="s">
        <v>196</v>
      </c>
      <c r="H11" s="1" t="s">
        <v>201</v>
      </c>
      <c r="I11" s="1">
        <v>30</v>
      </c>
      <c r="J11" s="1" t="s">
        <v>179</v>
      </c>
      <c r="K11" s="1" t="s">
        <v>180</v>
      </c>
      <c r="L11" s="1" t="s">
        <v>181</v>
      </c>
      <c r="M11" s="1" t="s">
        <v>137</v>
      </c>
      <c r="N11" s="1" t="s">
        <v>202</v>
      </c>
      <c r="O11" s="1">
        <v>1</v>
      </c>
      <c r="P11" s="1">
        <v>1.89</v>
      </c>
      <c r="Q11" s="1" t="s">
        <v>39</v>
      </c>
      <c r="R11" s="1" t="s">
        <v>37</v>
      </c>
      <c r="S11" s="1" t="s">
        <v>38</v>
      </c>
      <c r="T11" s="1" t="s">
        <v>43</v>
      </c>
      <c r="U11" s="1" t="s">
        <v>135</v>
      </c>
      <c r="V11" s="1" t="s">
        <v>32</v>
      </c>
      <c r="W11" s="1" t="s">
        <v>32</v>
      </c>
      <c r="X11" s="1" t="s">
        <v>45</v>
      </c>
      <c r="Y11" s="1" t="s">
        <v>0</v>
      </c>
      <c r="Z11" s="1" t="s">
        <v>41</v>
      </c>
      <c r="AA11" s="1" t="s">
        <v>183</v>
      </c>
      <c r="AD11" s="1" t="s">
        <v>203</v>
      </c>
      <c r="AE11" s="1" t="s">
        <v>204</v>
      </c>
      <c r="AF11" s="1" t="s">
        <v>205</v>
      </c>
    </row>
    <row r="12" spans="1:32" x14ac:dyDescent="0.2">
      <c r="A12" s="1" t="s">
        <v>32</v>
      </c>
      <c r="B12" s="2">
        <v>42805</v>
      </c>
      <c r="C12" s="1" t="s">
        <v>50</v>
      </c>
      <c r="D12" s="1" t="s">
        <v>47</v>
      </c>
      <c r="E12" s="1" t="s">
        <v>48</v>
      </c>
      <c r="G12" s="1" t="s">
        <v>212</v>
      </c>
      <c r="H12" s="1" t="s">
        <v>53</v>
      </c>
      <c r="I12" s="1">
        <v>28</v>
      </c>
      <c r="J12" s="1" t="s">
        <v>125</v>
      </c>
      <c r="K12" s="1" t="s">
        <v>126</v>
      </c>
      <c r="L12" s="1" t="s">
        <v>208</v>
      </c>
      <c r="M12" s="1" t="s">
        <v>213</v>
      </c>
      <c r="N12" s="1" t="s">
        <v>214</v>
      </c>
      <c r="O12" s="1">
        <v>1</v>
      </c>
      <c r="P12" s="1">
        <v>2.0840000000000001</v>
      </c>
      <c r="Q12" s="1" t="s">
        <v>39</v>
      </c>
      <c r="R12" s="1" t="s">
        <v>84</v>
      </c>
      <c r="S12" s="1" t="s">
        <v>85</v>
      </c>
      <c r="T12" s="1" t="s">
        <v>80</v>
      </c>
      <c r="U12" s="1" t="s">
        <v>215</v>
      </c>
      <c r="V12" s="1" t="s">
        <v>131</v>
      </c>
      <c r="W12" s="1" t="s">
        <v>132</v>
      </c>
      <c r="X12" s="1" t="s">
        <v>209</v>
      </c>
      <c r="Y12" s="1" t="s">
        <v>210</v>
      </c>
      <c r="Z12" s="1" t="s">
        <v>41</v>
      </c>
      <c r="AA12" s="1" t="s">
        <v>211</v>
      </c>
      <c r="AD12" s="1" t="s">
        <v>216</v>
      </c>
      <c r="AE12" s="1" t="s">
        <v>217</v>
      </c>
      <c r="AF12" s="1" t="s">
        <v>218</v>
      </c>
    </row>
    <row r="13" spans="1:32" x14ac:dyDescent="0.2">
      <c r="A13" s="1" t="s">
        <v>32</v>
      </c>
      <c r="B13" s="2">
        <v>42806</v>
      </c>
      <c r="C13" s="1" t="s">
        <v>46</v>
      </c>
      <c r="D13" s="1" t="s">
        <v>34</v>
      </c>
      <c r="E13" s="1" t="s">
        <v>35</v>
      </c>
      <c r="G13" s="1" t="s">
        <v>222</v>
      </c>
      <c r="H13" s="1" t="s">
        <v>49</v>
      </c>
      <c r="I13" s="1">
        <v>39</v>
      </c>
      <c r="J13" s="1" t="s">
        <v>179</v>
      </c>
      <c r="K13" s="1" t="s">
        <v>219</v>
      </c>
      <c r="L13" s="1" t="s">
        <v>220</v>
      </c>
      <c r="M13" s="1" t="s">
        <v>213</v>
      </c>
      <c r="N13" s="1" t="s">
        <v>221</v>
      </c>
      <c r="O13" s="1">
        <v>1</v>
      </c>
      <c r="P13" s="1">
        <v>1.9430000000000001</v>
      </c>
      <c r="Q13" s="1" t="s">
        <v>39</v>
      </c>
      <c r="R13" s="1" t="s">
        <v>37</v>
      </c>
      <c r="S13" s="1" t="s">
        <v>38</v>
      </c>
      <c r="T13" s="1" t="s">
        <v>86</v>
      </c>
      <c r="U13" s="1" t="s">
        <v>223</v>
      </c>
      <c r="V13" s="1" t="s">
        <v>62</v>
      </c>
      <c r="W13" s="1" t="s">
        <v>63</v>
      </c>
      <c r="X13" s="1" t="s">
        <v>224</v>
      </c>
      <c r="Y13" s="1" t="s">
        <v>225</v>
      </c>
      <c r="Z13" s="1" t="s">
        <v>41</v>
      </c>
      <c r="AA13" s="1" t="s">
        <v>70</v>
      </c>
      <c r="AD13" s="1" t="s">
        <v>226</v>
      </c>
      <c r="AE13" s="1" t="s">
        <v>227</v>
      </c>
      <c r="AF13" s="1" t="s">
        <v>228</v>
      </c>
    </row>
    <row r="14" spans="1:32" x14ac:dyDescent="0.2">
      <c r="A14" s="1" t="s">
        <v>32</v>
      </c>
      <c r="B14" s="2">
        <v>42808</v>
      </c>
      <c r="C14" s="1" t="s">
        <v>46</v>
      </c>
      <c r="D14" s="1" t="s">
        <v>34</v>
      </c>
      <c r="E14" s="1" t="s">
        <v>35</v>
      </c>
      <c r="G14" s="1" t="s">
        <v>233</v>
      </c>
      <c r="H14" s="1" t="s">
        <v>49</v>
      </c>
      <c r="I14" s="1">
        <v>52</v>
      </c>
      <c r="J14" s="1" t="s">
        <v>125</v>
      </c>
      <c r="K14" s="1" t="s">
        <v>126</v>
      </c>
      <c r="L14" s="1" t="s">
        <v>229</v>
      </c>
      <c r="M14" s="1" t="s">
        <v>230</v>
      </c>
      <c r="N14" s="1" t="s">
        <v>231</v>
      </c>
      <c r="O14" s="1">
        <v>1</v>
      </c>
      <c r="P14" s="1">
        <v>2.12</v>
      </c>
      <c r="Q14" s="1" t="s">
        <v>39</v>
      </c>
      <c r="R14" s="1" t="s">
        <v>75</v>
      </c>
      <c r="S14" s="1" t="s">
        <v>76</v>
      </c>
      <c r="T14" s="1" t="s">
        <v>80</v>
      </c>
      <c r="U14" s="1" t="s">
        <v>215</v>
      </c>
      <c r="V14" s="1" t="s">
        <v>101</v>
      </c>
      <c r="W14" s="1" t="s">
        <v>102</v>
      </c>
      <c r="X14" s="1" t="s">
        <v>120</v>
      </c>
      <c r="Y14" s="1" t="s">
        <v>121</v>
      </c>
      <c r="Z14" s="1" t="s">
        <v>41</v>
      </c>
      <c r="AA14" s="1" t="s">
        <v>232</v>
      </c>
      <c r="AD14" s="1" t="s">
        <v>234</v>
      </c>
      <c r="AE14" s="1" t="s">
        <v>235</v>
      </c>
      <c r="AF14" s="1" t="s">
        <v>236</v>
      </c>
    </row>
    <row r="15" spans="1:32" ht="57" customHeight="1" x14ac:dyDescent="0.2">
      <c r="A15" s="1" t="s">
        <v>32</v>
      </c>
      <c r="B15" s="2">
        <v>42809</v>
      </c>
      <c r="C15" s="1" t="s">
        <v>46</v>
      </c>
      <c r="D15" s="1" t="s">
        <v>34</v>
      </c>
      <c r="E15" s="1" t="s">
        <v>35</v>
      </c>
      <c r="G15" s="1" t="s">
        <v>239</v>
      </c>
      <c r="H15" s="1" t="s">
        <v>240</v>
      </c>
      <c r="I15" s="1">
        <v>3</v>
      </c>
      <c r="J15" s="1" t="s">
        <v>125</v>
      </c>
      <c r="K15" s="1" t="s">
        <v>126</v>
      </c>
      <c r="L15" s="1" t="s">
        <v>229</v>
      </c>
      <c r="M15" s="1" t="s">
        <v>238</v>
      </c>
      <c r="N15" s="1" t="s">
        <v>241</v>
      </c>
      <c r="O15" s="1">
        <v>1</v>
      </c>
      <c r="P15" s="1">
        <v>2.1110000000000002</v>
      </c>
      <c r="Q15" s="1" t="s">
        <v>39</v>
      </c>
      <c r="R15" s="1" t="s">
        <v>139</v>
      </c>
      <c r="S15" s="1" t="s">
        <v>140</v>
      </c>
      <c r="T15" s="1" t="s">
        <v>80</v>
      </c>
      <c r="U15" s="1" t="s">
        <v>242</v>
      </c>
      <c r="V15" s="1" t="s">
        <v>32</v>
      </c>
      <c r="W15" s="1" t="s">
        <v>32</v>
      </c>
      <c r="X15" s="1" t="s">
        <v>45</v>
      </c>
      <c r="Y15" s="1" t="s">
        <v>0</v>
      </c>
      <c r="Z15" s="1" t="s">
        <v>41</v>
      </c>
      <c r="AA15" s="1" t="s">
        <v>124</v>
      </c>
      <c r="AD15" s="1" t="s">
        <v>243</v>
      </c>
      <c r="AE15" s="1" t="s">
        <v>244</v>
      </c>
      <c r="AF15" s="1" t="s">
        <v>245</v>
      </c>
    </row>
    <row r="16" spans="1:32" x14ac:dyDescent="0.2">
      <c r="A16" s="1" t="s">
        <v>32</v>
      </c>
      <c r="B16" s="2">
        <v>42810</v>
      </c>
      <c r="C16" s="1" t="s">
        <v>50</v>
      </c>
      <c r="D16" s="1" t="s">
        <v>51</v>
      </c>
      <c r="E16" s="1" t="s">
        <v>48</v>
      </c>
      <c r="G16" s="1" t="s">
        <v>249</v>
      </c>
      <c r="H16" s="1" t="s">
        <v>53</v>
      </c>
      <c r="I16" s="1">
        <v>5</v>
      </c>
      <c r="J16" s="1" t="s">
        <v>125</v>
      </c>
      <c r="K16" s="1" t="s">
        <v>126</v>
      </c>
      <c r="L16" s="1" t="s">
        <v>208</v>
      </c>
      <c r="M16" s="1" t="s">
        <v>248</v>
      </c>
      <c r="N16" s="1" t="s">
        <v>250</v>
      </c>
      <c r="O16" s="1">
        <v>1</v>
      </c>
      <c r="P16" s="1">
        <v>1.837</v>
      </c>
      <c r="Q16" s="1" t="s">
        <v>39</v>
      </c>
      <c r="R16" s="1" t="s">
        <v>37</v>
      </c>
      <c r="S16" s="1" t="s">
        <v>38</v>
      </c>
      <c r="T16" s="1" t="s">
        <v>80</v>
      </c>
      <c r="U16" s="1" t="s">
        <v>215</v>
      </c>
      <c r="V16" s="1" t="s">
        <v>62</v>
      </c>
      <c r="W16" s="1" t="s">
        <v>63</v>
      </c>
      <c r="X16" s="1" t="s">
        <v>93</v>
      </c>
      <c r="Y16" s="1" t="s">
        <v>94</v>
      </c>
      <c r="Z16" s="1" t="s">
        <v>41</v>
      </c>
      <c r="AA16" s="1" t="s">
        <v>251</v>
      </c>
      <c r="AD16" s="1" t="s">
        <v>252</v>
      </c>
      <c r="AE16" s="1" t="s">
        <v>253</v>
      </c>
      <c r="AF16" s="1" t="s">
        <v>254</v>
      </c>
    </row>
    <row r="17" spans="1:32" x14ac:dyDescent="0.2">
      <c r="A17" s="1" t="s">
        <v>32</v>
      </c>
      <c r="B17" s="2">
        <v>42811</v>
      </c>
      <c r="C17" s="1" t="s">
        <v>33</v>
      </c>
      <c r="D17" s="1" t="s">
        <v>34</v>
      </c>
      <c r="E17" s="1" t="s">
        <v>35</v>
      </c>
      <c r="G17" s="1" t="s">
        <v>55</v>
      </c>
      <c r="H17" s="1" t="s">
        <v>257</v>
      </c>
      <c r="I17" s="1">
        <v>23</v>
      </c>
      <c r="J17" s="1" t="s">
        <v>125</v>
      </c>
      <c r="K17" s="1" t="s">
        <v>126</v>
      </c>
      <c r="L17" s="1" t="s">
        <v>208</v>
      </c>
      <c r="M17" s="1" t="s">
        <v>248</v>
      </c>
      <c r="N17" s="1" t="s">
        <v>255</v>
      </c>
      <c r="O17" s="1">
        <v>1</v>
      </c>
      <c r="P17" s="1">
        <v>1.6020000000000001</v>
      </c>
      <c r="Q17" s="1" t="s">
        <v>39</v>
      </c>
      <c r="R17" s="1" t="s">
        <v>37</v>
      </c>
      <c r="S17" s="1" t="s">
        <v>38</v>
      </c>
      <c r="T17" s="1" t="s">
        <v>80</v>
      </c>
      <c r="U17" s="1" t="s">
        <v>215</v>
      </c>
      <c r="V17" s="1" t="s">
        <v>62</v>
      </c>
      <c r="W17" s="1" t="s">
        <v>63</v>
      </c>
      <c r="X17" s="1" t="s">
        <v>93</v>
      </c>
      <c r="Y17" s="1" t="s">
        <v>94</v>
      </c>
      <c r="Z17" s="1" t="s">
        <v>41</v>
      </c>
      <c r="AA17" s="1" t="s">
        <v>256</v>
      </c>
      <c r="AD17" s="1" t="s">
        <v>258</v>
      </c>
      <c r="AE17" s="1" t="s">
        <v>259</v>
      </c>
      <c r="AF17" s="1" t="s">
        <v>260</v>
      </c>
    </row>
    <row r="18" spans="1:32" x14ac:dyDescent="0.2">
      <c r="A18" s="1" t="s">
        <v>32</v>
      </c>
      <c r="B18" s="2">
        <v>42811</v>
      </c>
      <c r="C18" s="1" t="s">
        <v>33</v>
      </c>
      <c r="D18" s="1" t="s">
        <v>34</v>
      </c>
      <c r="E18" s="1" t="s">
        <v>35</v>
      </c>
      <c r="G18" s="1" t="s">
        <v>261</v>
      </c>
      <c r="H18" s="1" t="s">
        <v>42</v>
      </c>
      <c r="I18" s="1">
        <v>13</v>
      </c>
      <c r="J18" s="1" t="s">
        <v>125</v>
      </c>
      <c r="K18" s="1" t="s">
        <v>126</v>
      </c>
      <c r="L18" s="1" t="s">
        <v>208</v>
      </c>
      <c r="M18" s="1" t="s">
        <v>248</v>
      </c>
      <c r="N18" s="1" t="s">
        <v>255</v>
      </c>
      <c r="O18" s="1">
        <v>1</v>
      </c>
      <c r="P18" s="1">
        <v>1.6020000000000001</v>
      </c>
      <c r="Q18" s="1" t="s">
        <v>39</v>
      </c>
      <c r="R18" s="1" t="s">
        <v>37</v>
      </c>
      <c r="S18" s="1" t="s">
        <v>38</v>
      </c>
      <c r="T18" s="1" t="s">
        <v>80</v>
      </c>
      <c r="U18" s="1" t="s">
        <v>215</v>
      </c>
      <c r="V18" s="1" t="s">
        <v>62</v>
      </c>
      <c r="W18" s="1" t="s">
        <v>63</v>
      </c>
      <c r="X18" s="1" t="s">
        <v>93</v>
      </c>
      <c r="Y18" s="1" t="s">
        <v>94</v>
      </c>
      <c r="Z18" s="1" t="s">
        <v>41</v>
      </c>
      <c r="AA18" s="1" t="s">
        <v>256</v>
      </c>
      <c r="AD18" s="1" t="s">
        <v>258</v>
      </c>
      <c r="AE18" s="1" t="s">
        <v>259</v>
      </c>
      <c r="AF18" s="1" t="s">
        <v>262</v>
      </c>
    </row>
    <row r="19" spans="1:32" x14ac:dyDescent="0.2">
      <c r="A19" s="1" t="s">
        <v>32</v>
      </c>
      <c r="B19" s="2">
        <v>42811</v>
      </c>
      <c r="C19" s="1" t="s">
        <v>50</v>
      </c>
      <c r="D19" s="1" t="s">
        <v>51</v>
      </c>
      <c r="E19" s="1" t="s">
        <v>52</v>
      </c>
      <c r="G19" s="1" t="s">
        <v>79</v>
      </c>
      <c r="H19" s="1" t="s">
        <v>82</v>
      </c>
      <c r="I19" s="1">
        <v>23</v>
      </c>
      <c r="J19" s="1" t="s">
        <v>125</v>
      </c>
      <c r="K19" s="1" t="s">
        <v>126</v>
      </c>
      <c r="L19" s="1" t="s">
        <v>265</v>
      </c>
      <c r="M19" s="1" t="s">
        <v>263</v>
      </c>
      <c r="N19" s="1" t="s">
        <v>264</v>
      </c>
      <c r="O19" s="1">
        <v>1</v>
      </c>
      <c r="P19" s="1">
        <v>2.1110000000000002</v>
      </c>
      <c r="Q19" s="1" t="s">
        <v>39</v>
      </c>
      <c r="R19" s="1" t="s">
        <v>37</v>
      </c>
      <c r="S19" s="1" t="s">
        <v>38</v>
      </c>
      <c r="T19" s="1" t="s">
        <v>80</v>
      </c>
      <c r="U19" s="1" t="s">
        <v>215</v>
      </c>
      <c r="V19" s="1" t="s">
        <v>62</v>
      </c>
      <c r="W19" s="1" t="s">
        <v>63</v>
      </c>
      <c r="X19" s="1" t="s">
        <v>110</v>
      </c>
      <c r="Y19" s="1" t="s">
        <v>111</v>
      </c>
      <c r="Z19" s="1" t="s">
        <v>66</v>
      </c>
      <c r="AA19" s="1" t="s">
        <v>124</v>
      </c>
      <c r="AD19" s="1" t="s">
        <v>266</v>
      </c>
      <c r="AE19" s="1" t="s">
        <v>267</v>
      </c>
      <c r="AF19" s="1" t="s">
        <v>268</v>
      </c>
    </row>
    <row r="20" spans="1:32" x14ac:dyDescent="0.2">
      <c r="A20" s="1" t="s">
        <v>32</v>
      </c>
      <c r="B20" s="2">
        <v>42811</v>
      </c>
      <c r="C20" s="1" t="s">
        <v>50</v>
      </c>
      <c r="D20" s="1" t="s">
        <v>51</v>
      </c>
      <c r="E20" s="1" t="s">
        <v>52</v>
      </c>
      <c r="G20" s="1" t="s">
        <v>269</v>
      </c>
      <c r="H20" s="1" t="s">
        <v>53</v>
      </c>
      <c r="I20" s="1">
        <v>29</v>
      </c>
      <c r="J20" s="1" t="s">
        <v>125</v>
      </c>
      <c r="K20" s="1" t="s">
        <v>126</v>
      </c>
      <c r="L20" s="1" t="s">
        <v>265</v>
      </c>
      <c r="M20" s="1" t="s">
        <v>263</v>
      </c>
      <c r="N20" s="1" t="s">
        <v>270</v>
      </c>
      <c r="O20" s="1">
        <v>1</v>
      </c>
      <c r="P20" s="1">
        <v>2.1110000000000002</v>
      </c>
      <c r="Q20" s="1" t="s">
        <v>39</v>
      </c>
      <c r="R20" s="1" t="s">
        <v>271</v>
      </c>
      <c r="S20" s="1" t="s">
        <v>272</v>
      </c>
      <c r="T20" s="1" t="s">
        <v>80</v>
      </c>
      <c r="U20" s="1" t="s">
        <v>215</v>
      </c>
      <c r="V20" s="1" t="s">
        <v>114</v>
      </c>
      <c r="W20" s="1" t="s">
        <v>115</v>
      </c>
      <c r="X20" s="1" t="s">
        <v>116</v>
      </c>
      <c r="Y20" s="1" t="s">
        <v>117</v>
      </c>
      <c r="Z20" s="1" t="s">
        <v>41</v>
      </c>
      <c r="AA20" s="1" t="s">
        <v>124</v>
      </c>
      <c r="AD20" s="1" t="s">
        <v>273</v>
      </c>
      <c r="AE20" s="1" t="s">
        <v>274</v>
      </c>
      <c r="AF20" s="1" t="s">
        <v>275</v>
      </c>
    </row>
    <row r="21" spans="1:32" x14ac:dyDescent="0.2">
      <c r="A21" s="1" t="s">
        <v>32</v>
      </c>
      <c r="B21" s="2">
        <v>42812</v>
      </c>
      <c r="C21" s="1" t="s">
        <v>33</v>
      </c>
      <c r="D21" s="1" t="s">
        <v>34</v>
      </c>
      <c r="E21" s="1" t="s">
        <v>35</v>
      </c>
      <c r="G21" s="1" t="s">
        <v>276</v>
      </c>
      <c r="H21" s="1" t="s">
        <v>112</v>
      </c>
      <c r="I21" s="1">
        <v>13</v>
      </c>
      <c r="J21" s="1" t="s">
        <v>125</v>
      </c>
      <c r="K21" s="1" t="s">
        <v>126</v>
      </c>
      <c r="L21" s="1" t="s">
        <v>265</v>
      </c>
      <c r="M21" s="1" t="s">
        <v>263</v>
      </c>
      <c r="N21" s="1" t="s">
        <v>277</v>
      </c>
      <c r="O21" s="1">
        <v>1</v>
      </c>
      <c r="P21" s="1">
        <v>2.1110000000000002</v>
      </c>
      <c r="Q21" s="1" t="s">
        <v>39</v>
      </c>
      <c r="R21" s="1" t="s">
        <v>58</v>
      </c>
      <c r="S21" s="1" t="s">
        <v>59</v>
      </c>
      <c r="T21" s="1" t="s">
        <v>60</v>
      </c>
      <c r="U21" s="1" t="s">
        <v>61</v>
      </c>
      <c r="V21" s="1" t="s">
        <v>62</v>
      </c>
      <c r="W21" s="1" t="s">
        <v>63</v>
      </c>
      <c r="X21" s="1" t="s">
        <v>143</v>
      </c>
      <c r="Y21" s="1" t="s">
        <v>144</v>
      </c>
      <c r="Z21" s="1" t="s">
        <v>41</v>
      </c>
      <c r="AA21" s="1" t="s">
        <v>124</v>
      </c>
      <c r="AD21" s="1" t="s">
        <v>278</v>
      </c>
      <c r="AE21" s="1" t="s">
        <v>279</v>
      </c>
      <c r="AF21" s="1" t="s">
        <v>280</v>
      </c>
    </row>
    <row r="22" spans="1:32" x14ac:dyDescent="0.2">
      <c r="A22" s="1" t="s">
        <v>32</v>
      </c>
      <c r="B22" s="2">
        <v>42812</v>
      </c>
      <c r="C22" s="1" t="s">
        <v>33</v>
      </c>
      <c r="D22" s="1" t="s">
        <v>34</v>
      </c>
      <c r="E22" s="1" t="s">
        <v>35</v>
      </c>
      <c r="G22" s="1" t="s">
        <v>282</v>
      </c>
      <c r="H22" s="1" t="s">
        <v>283</v>
      </c>
      <c r="I22" s="1">
        <v>43</v>
      </c>
      <c r="J22" s="1" t="s">
        <v>125</v>
      </c>
      <c r="K22" s="1" t="s">
        <v>126</v>
      </c>
      <c r="L22" s="1" t="s">
        <v>265</v>
      </c>
      <c r="M22" s="1" t="s">
        <v>263</v>
      </c>
      <c r="N22" s="1" t="s">
        <v>281</v>
      </c>
      <c r="O22" s="1">
        <v>1</v>
      </c>
      <c r="P22" s="1">
        <v>2.1110000000000002</v>
      </c>
      <c r="Q22" s="1" t="s">
        <v>39</v>
      </c>
      <c r="R22" s="1" t="s">
        <v>58</v>
      </c>
      <c r="S22" s="1" t="s">
        <v>59</v>
      </c>
      <c r="T22" s="1" t="s">
        <v>60</v>
      </c>
      <c r="U22" s="1" t="s">
        <v>61</v>
      </c>
      <c r="V22" s="1" t="s">
        <v>62</v>
      </c>
      <c r="W22" s="1" t="s">
        <v>63</v>
      </c>
      <c r="X22" s="1" t="s">
        <v>103</v>
      </c>
      <c r="Y22" s="1" t="s">
        <v>194</v>
      </c>
      <c r="Z22" s="1" t="s">
        <v>41</v>
      </c>
      <c r="AA22" s="1" t="s">
        <v>124</v>
      </c>
      <c r="AD22" s="1" t="s">
        <v>284</v>
      </c>
      <c r="AE22" s="1" t="s">
        <v>285</v>
      </c>
      <c r="AF22" s="1" t="s">
        <v>286</v>
      </c>
    </row>
    <row r="23" spans="1:32" x14ac:dyDescent="0.2">
      <c r="A23" s="1" t="s">
        <v>32</v>
      </c>
      <c r="B23" s="2">
        <v>42812</v>
      </c>
      <c r="C23" s="1" t="s">
        <v>33</v>
      </c>
      <c r="D23" s="1" t="s">
        <v>34</v>
      </c>
      <c r="E23" s="1" t="s">
        <v>35</v>
      </c>
      <c r="G23" s="1" t="s">
        <v>289</v>
      </c>
      <c r="H23" s="1" t="s">
        <v>42</v>
      </c>
      <c r="I23" s="1">
        <v>10</v>
      </c>
      <c r="J23" s="1" t="s">
        <v>125</v>
      </c>
      <c r="K23" s="1" t="s">
        <v>126</v>
      </c>
      <c r="L23" s="1" t="s">
        <v>265</v>
      </c>
      <c r="M23" s="1" t="s">
        <v>263</v>
      </c>
      <c r="N23" s="1" t="s">
        <v>281</v>
      </c>
      <c r="O23" s="1">
        <v>1</v>
      </c>
      <c r="P23" s="1">
        <v>2.1110000000000002</v>
      </c>
      <c r="Q23" s="1" t="s">
        <v>39</v>
      </c>
      <c r="R23" s="1" t="s">
        <v>58</v>
      </c>
      <c r="S23" s="1" t="s">
        <v>59</v>
      </c>
      <c r="T23" s="1" t="s">
        <v>80</v>
      </c>
      <c r="U23" s="1" t="s">
        <v>215</v>
      </c>
      <c r="V23" s="1" t="s">
        <v>62</v>
      </c>
      <c r="W23" s="1" t="s">
        <v>63</v>
      </c>
      <c r="X23" s="1" t="s">
        <v>287</v>
      </c>
      <c r="Y23" s="1" t="s">
        <v>288</v>
      </c>
      <c r="Z23" s="1" t="s">
        <v>41</v>
      </c>
      <c r="AA23" s="1" t="s">
        <v>124</v>
      </c>
      <c r="AD23" s="1" t="s">
        <v>290</v>
      </c>
      <c r="AE23" s="1" t="s">
        <v>291</v>
      </c>
      <c r="AF23" s="1" t="s">
        <v>292</v>
      </c>
    </row>
    <row r="24" spans="1:32" x14ac:dyDescent="0.2">
      <c r="A24" s="1" t="s">
        <v>32</v>
      </c>
      <c r="B24" s="2">
        <v>42812</v>
      </c>
      <c r="C24" s="1" t="s">
        <v>50</v>
      </c>
      <c r="D24" s="1" t="s">
        <v>51</v>
      </c>
      <c r="E24" s="1" t="s">
        <v>294</v>
      </c>
      <c r="G24" s="1" t="s">
        <v>123</v>
      </c>
      <c r="H24" s="1" t="s">
        <v>170</v>
      </c>
      <c r="I24" s="1">
        <v>25</v>
      </c>
      <c r="J24" s="1" t="s">
        <v>125</v>
      </c>
      <c r="K24" s="1" t="s">
        <v>126</v>
      </c>
      <c r="L24" s="1" t="s">
        <v>265</v>
      </c>
      <c r="M24" s="1" t="s">
        <v>293</v>
      </c>
      <c r="N24" s="1" t="s">
        <v>295</v>
      </c>
      <c r="O24" s="1">
        <v>1</v>
      </c>
      <c r="P24" s="1">
        <v>2.1110000000000002</v>
      </c>
      <c r="Q24" s="1" t="s">
        <v>39</v>
      </c>
      <c r="R24" s="1" t="s">
        <v>58</v>
      </c>
      <c r="S24" s="1" t="s">
        <v>59</v>
      </c>
      <c r="T24" s="1" t="s">
        <v>60</v>
      </c>
      <c r="U24" s="1" t="s">
        <v>61</v>
      </c>
      <c r="V24" s="1" t="s">
        <v>62</v>
      </c>
      <c r="W24" s="1" t="s">
        <v>63</v>
      </c>
      <c r="X24" s="1" t="s">
        <v>64</v>
      </c>
      <c r="Y24" s="1" t="s">
        <v>65</v>
      </c>
      <c r="Z24" s="1" t="s">
        <v>41</v>
      </c>
      <c r="AA24" s="1" t="s">
        <v>124</v>
      </c>
      <c r="AD24" s="1" t="s">
        <v>296</v>
      </c>
      <c r="AE24" s="1" t="s">
        <v>297</v>
      </c>
      <c r="AF24" s="1" t="s">
        <v>298</v>
      </c>
    </row>
    <row r="25" spans="1:32" x14ac:dyDescent="0.2">
      <c r="A25" s="1" t="s">
        <v>32</v>
      </c>
      <c r="B25" s="2">
        <v>42812</v>
      </c>
      <c r="C25" s="1" t="s">
        <v>50</v>
      </c>
      <c r="D25" s="1" t="s">
        <v>51</v>
      </c>
      <c r="E25" s="1" t="s">
        <v>294</v>
      </c>
      <c r="G25" s="1" t="s">
        <v>299</v>
      </c>
      <c r="H25" s="1" t="s">
        <v>300</v>
      </c>
      <c r="I25" s="1">
        <v>38</v>
      </c>
      <c r="J25" s="1" t="s">
        <v>125</v>
      </c>
      <c r="K25" s="1" t="s">
        <v>126</v>
      </c>
      <c r="L25" s="1" t="s">
        <v>265</v>
      </c>
      <c r="M25" s="1" t="s">
        <v>293</v>
      </c>
      <c r="N25" s="1" t="s">
        <v>295</v>
      </c>
      <c r="O25" s="1">
        <v>1</v>
      </c>
      <c r="P25" s="1">
        <v>2.1110000000000002</v>
      </c>
      <c r="Q25" s="1" t="s">
        <v>39</v>
      </c>
      <c r="R25" s="1" t="s">
        <v>58</v>
      </c>
      <c r="S25" s="1" t="s">
        <v>59</v>
      </c>
      <c r="T25" s="1" t="s">
        <v>60</v>
      </c>
      <c r="U25" s="1" t="s">
        <v>61</v>
      </c>
      <c r="V25" s="1" t="s">
        <v>62</v>
      </c>
      <c r="W25" s="1" t="s">
        <v>63</v>
      </c>
      <c r="X25" s="1" t="s">
        <v>64</v>
      </c>
      <c r="Y25" s="1" t="s">
        <v>65</v>
      </c>
      <c r="Z25" s="1" t="s">
        <v>41</v>
      </c>
      <c r="AA25" s="1" t="s">
        <v>124</v>
      </c>
      <c r="AD25" s="1" t="s">
        <v>296</v>
      </c>
      <c r="AE25" s="1" t="s">
        <v>301</v>
      </c>
      <c r="AF25" s="1" t="s">
        <v>302</v>
      </c>
    </row>
    <row r="26" spans="1:32" ht="165.75" x14ac:dyDescent="0.2">
      <c r="A26" s="1" t="s">
        <v>32</v>
      </c>
      <c r="B26" s="2">
        <v>42813</v>
      </c>
      <c r="C26" s="1" t="s">
        <v>46</v>
      </c>
      <c r="D26" s="1" t="s">
        <v>47</v>
      </c>
      <c r="E26" s="1" t="s">
        <v>294</v>
      </c>
      <c r="G26" s="1" t="s">
        <v>305</v>
      </c>
      <c r="H26" s="1" t="s">
        <v>49</v>
      </c>
      <c r="I26" s="1">
        <v>15</v>
      </c>
      <c r="J26" s="1" t="s">
        <v>125</v>
      </c>
      <c r="K26" s="1" t="s">
        <v>126</v>
      </c>
      <c r="L26" s="1" t="s">
        <v>306</v>
      </c>
      <c r="M26" s="1" t="s">
        <v>303</v>
      </c>
      <c r="N26" s="1" t="s">
        <v>304</v>
      </c>
      <c r="O26" s="1">
        <v>1</v>
      </c>
      <c r="P26" s="1">
        <v>2.1110000000000002</v>
      </c>
      <c r="Q26" s="1" t="s">
        <v>39</v>
      </c>
      <c r="R26" s="1" t="s">
        <v>37</v>
      </c>
      <c r="S26" s="1" t="s">
        <v>38</v>
      </c>
      <c r="T26" s="1" t="s">
        <v>40</v>
      </c>
      <c r="U26" s="1" t="s">
        <v>73</v>
      </c>
      <c r="V26" s="1" t="s">
        <v>32</v>
      </c>
      <c r="W26" s="1" t="s">
        <v>32</v>
      </c>
      <c r="X26" s="1" t="s">
        <v>45</v>
      </c>
      <c r="Y26" s="1" t="s">
        <v>0</v>
      </c>
      <c r="Z26" s="1" t="s">
        <v>66</v>
      </c>
      <c r="AA26" s="1" t="s">
        <v>124</v>
      </c>
      <c r="AD26" s="7" t="s">
        <v>307</v>
      </c>
      <c r="AE26" s="1" t="s">
        <v>67</v>
      </c>
      <c r="AF26" s="1" t="s">
        <v>67</v>
      </c>
    </row>
    <row r="27" spans="1:32" x14ac:dyDescent="0.2">
      <c r="A27" s="1" t="s">
        <v>32</v>
      </c>
      <c r="B27" s="2">
        <v>42813</v>
      </c>
      <c r="C27" s="1" t="s">
        <v>50</v>
      </c>
      <c r="D27" s="1" t="s">
        <v>98</v>
      </c>
      <c r="E27" s="1" t="s">
        <v>294</v>
      </c>
      <c r="G27" s="1" t="s">
        <v>308</v>
      </c>
      <c r="H27" s="1" t="s">
        <v>138</v>
      </c>
      <c r="I27" s="1">
        <v>9</v>
      </c>
      <c r="J27" s="1" t="s">
        <v>125</v>
      </c>
      <c r="K27" s="1" t="s">
        <v>126</v>
      </c>
      <c r="L27" s="1" t="s">
        <v>306</v>
      </c>
      <c r="M27" s="1" t="s">
        <v>303</v>
      </c>
      <c r="N27" s="1" t="s">
        <v>304</v>
      </c>
      <c r="O27" s="1">
        <v>1</v>
      </c>
      <c r="P27" s="1">
        <v>2.1110000000000002</v>
      </c>
      <c r="Q27" s="1" t="s">
        <v>39</v>
      </c>
      <c r="R27" s="1" t="s">
        <v>141</v>
      </c>
      <c r="S27" s="1" t="s">
        <v>142</v>
      </c>
      <c r="T27" s="1" t="s">
        <v>43</v>
      </c>
      <c r="U27" s="1" t="s">
        <v>135</v>
      </c>
      <c r="V27" s="1" t="s">
        <v>32</v>
      </c>
      <c r="W27" s="1" t="s">
        <v>32</v>
      </c>
      <c r="X27" s="1" t="s">
        <v>45</v>
      </c>
      <c r="Y27" s="1" t="s">
        <v>0</v>
      </c>
      <c r="Z27" s="1" t="s">
        <v>41</v>
      </c>
      <c r="AA27" s="1" t="s">
        <v>124</v>
      </c>
      <c r="AD27" s="1" t="s">
        <v>309</v>
      </c>
      <c r="AE27" s="1" t="s">
        <v>310</v>
      </c>
      <c r="AF27" s="1" t="s">
        <v>311</v>
      </c>
    </row>
    <row r="28" spans="1:32" x14ac:dyDescent="0.2">
      <c r="A28" s="1" t="s">
        <v>32</v>
      </c>
      <c r="B28" s="2">
        <v>42814</v>
      </c>
      <c r="C28" s="1" t="s">
        <v>50</v>
      </c>
      <c r="D28" s="1" t="s">
        <v>98</v>
      </c>
      <c r="E28" s="1" t="s">
        <v>99</v>
      </c>
      <c r="G28" s="1" t="s">
        <v>313</v>
      </c>
      <c r="H28" s="1" t="s">
        <v>314</v>
      </c>
      <c r="I28" s="1">
        <v>19</v>
      </c>
      <c r="J28" s="1" t="s">
        <v>125</v>
      </c>
      <c r="K28" s="1" t="s">
        <v>126</v>
      </c>
      <c r="L28" s="1" t="s">
        <v>306</v>
      </c>
      <c r="M28" s="1" t="s">
        <v>312</v>
      </c>
      <c r="N28" s="1" t="s">
        <v>315</v>
      </c>
      <c r="O28" s="1">
        <v>1</v>
      </c>
      <c r="P28" s="1">
        <v>2.1110000000000002</v>
      </c>
      <c r="Q28" s="1" t="s">
        <v>39</v>
      </c>
      <c r="R28" s="1" t="s">
        <v>37</v>
      </c>
      <c r="S28" s="1" t="s">
        <v>38</v>
      </c>
      <c r="T28" s="1" t="s">
        <v>43</v>
      </c>
      <c r="U28" s="1" t="s">
        <v>72</v>
      </c>
      <c r="V28" s="1" t="s">
        <v>62</v>
      </c>
      <c r="W28" s="1" t="s">
        <v>63</v>
      </c>
      <c r="X28" s="1" t="s">
        <v>110</v>
      </c>
      <c r="Y28" s="1" t="s">
        <v>111</v>
      </c>
      <c r="Z28" s="1" t="s">
        <v>41</v>
      </c>
      <c r="AA28" s="1" t="s">
        <v>124</v>
      </c>
      <c r="AD28" s="1" t="s">
        <v>316</v>
      </c>
      <c r="AE28" s="1" t="s">
        <v>317</v>
      </c>
      <c r="AF28" s="1" t="s">
        <v>318</v>
      </c>
    </row>
    <row r="29" spans="1:32" x14ac:dyDescent="0.2">
      <c r="A29" s="1" t="s">
        <v>32</v>
      </c>
      <c r="B29" s="2">
        <v>42814</v>
      </c>
      <c r="C29" s="1" t="s">
        <v>50</v>
      </c>
      <c r="D29" s="1" t="s">
        <v>98</v>
      </c>
      <c r="E29" s="1" t="s">
        <v>99</v>
      </c>
      <c r="G29" s="1" t="s">
        <v>319</v>
      </c>
      <c r="H29" s="1" t="s">
        <v>237</v>
      </c>
      <c r="I29" s="1">
        <v>50</v>
      </c>
      <c r="J29" s="1" t="s">
        <v>125</v>
      </c>
      <c r="K29" s="1" t="s">
        <v>126</v>
      </c>
      <c r="L29" s="1" t="s">
        <v>306</v>
      </c>
      <c r="M29" s="1" t="s">
        <v>312</v>
      </c>
      <c r="N29" s="1" t="s">
        <v>315</v>
      </c>
      <c r="O29" s="1">
        <v>1</v>
      </c>
      <c r="P29" s="1">
        <v>2.1110000000000002</v>
      </c>
      <c r="Q29" s="1" t="s">
        <v>39</v>
      </c>
      <c r="R29" s="1" t="s">
        <v>37</v>
      </c>
      <c r="S29" s="1" t="s">
        <v>38</v>
      </c>
      <c r="T29" s="1" t="s">
        <v>43</v>
      </c>
      <c r="U29" s="1" t="s">
        <v>135</v>
      </c>
      <c r="V29" s="1" t="s">
        <v>114</v>
      </c>
      <c r="W29" s="1" t="s">
        <v>115</v>
      </c>
      <c r="X29" s="1" t="s">
        <v>116</v>
      </c>
      <c r="Y29" s="1" t="s">
        <v>117</v>
      </c>
      <c r="Z29" s="1" t="s">
        <v>41</v>
      </c>
      <c r="AA29" s="1" t="s">
        <v>124</v>
      </c>
      <c r="AD29" s="1" t="s">
        <v>320</v>
      </c>
      <c r="AE29" s="1" t="s">
        <v>321</v>
      </c>
      <c r="AF29" s="1" t="s">
        <v>322</v>
      </c>
    </row>
    <row r="30" spans="1:32" x14ac:dyDescent="0.2">
      <c r="A30" s="1" t="s">
        <v>32</v>
      </c>
      <c r="B30" s="2">
        <v>42815</v>
      </c>
      <c r="C30" s="1" t="s">
        <v>46</v>
      </c>
      <c r="D30" s="1" t="s">
        <v>51</v>
      </c>
      <c r="E30" s="1" t="s">
        <v>52</v>
      </c>
      <c r="G30" s="1" t="s">
        <v>323</v>
      </c>
      <c r="H30" s="1" t="s">
        <v>324</v>
      </c>
      <c r="I30" s="1">
        <v>44</v>
      </c>
      <c r="J30" s="1" t="s">
        <v>125</v>
      </c>
      <c r="K30" s="1" t="s">
        <v>126</v>
      </c>
      <c r="L30" s="1" t="s">
        <v>306</v>
      </c>
      <c r="M30" s="1" t="s">
        <v>312</v>
      </c>
      <c r="N30" s="1" t="s">
        <v>325</v>
      </c>
      <c r="O30" s="1">
        <v>1</v>
      </c>
      <c r="P30" s="1">
        <v>2.1110000000000002</v>
      </c>
      <c r="Q30" s="1" t="s">
        <v>39</v>
      </c>
      <c r="R30" s="1" t="s">
        <v>58</v>
      </c>
      <c r="S30" s="1" t="s">
        <v>59</v>
      </c>
      <c r="T30" s="1" t="s">
        <v>80</v>
      </c>
      <c r="U30" s="1" t="s">
        <v>215</v>
      </c>
      <c r="V30" s="1" t="s">
        <v>32</v>
      </c>
      <c r="W30" s="1" t="s">
        <v>32</v>
      </c>
      <c r="X30" s="1" t="s">
        <v>45</v>
      </c>
      <c r="Y30" s="1" t="s">
        <v>0</v>
      </c>
      <c r="Z30" s="1" t="s">
        <v>41</v>
      </c>
      <c r="AA30" s="1" t="s">
        <v>124</v>
      </c>
      <c r="AD30" s="1" t="s">
        <v>326</v>
      </c>
      <c r="AE30" s="1" t="s">
        <v>327</v>
      </c>
      <c r="AF30" s="1" t="s">
        <v>328</v>
      </c>
    </row>
    <row r="31" spans="1:32" x14ac:dyDescent="0.2">
      <c r="A31" s="1" t="s">
        <v>32</v>
      </c>
      <c r="B31" s="2">
        <v>42816</v>
      </c>
      <c r="C31" s="1" t="s">
        <v>33</v>
      </c>
      <c r="D31" s="1" t="s">
        <v>47</v>
      </c>
      <c r="E31" s="1" t="s">
        <v>294</v>
      </c>
      <c r="G31" s="1" t="s">
        <v>57</v>
      </c>
      <c r="H31" s="1" t="s">
        <v>42</v>
      </c>
      <c r="I31" s="1">
        <v>16</v>
      </c>
      <c r="J31" s="1" t="s">
        <v>125</v>
      </c>
      <c r="K31" s="1" t="s">
        <v>126</v>
      </c>
      <c r="L31" s="1" t="s">
        <v>306</v>
      </c>
      <c r="M31" s="1" t="s">
        <v>312</v>
      </c>
      <c r="N31" s="1" t="s">
        <v>329</v>
      </c>
      <c r="O31" s="1">
        <v>1</v>
      </c>
      <c r="P31" s="1">
        <v>2.1110000000000002</v>
      </c>
      <c r="Q31" s="1" t="s">
        <v>39</v>
      </c>
      <c r="R31" s="1" t="s">
        <v>37</v>
      </c>
      <c r="S31" s="1" t="s">
        <v>38</v>
      </c>
      <c r="T31" s="1" t="s">
        <v>60</v>
      </c>
      <c r="U31" s="1" t="s">
        <v>61</v>
      </c>
      <c r="V31" s="1" t="s">
        <v>62</v>
      </c>
      <c r="W31" s="1" t="s">
        <v>63</v>
      </c>
      <c r="X31" s="1" t="s">
        <v>93</v>
      </c>
      <c r="Y31" s="1" t="s">
        <v>94</v>
      </c>
      <c r="Z31" s="1" t="s">
        <v>41</v>
      </c>
      <c r="AA31" s="1" t="s">
        <v>124</v>
      </c>
      <c r="AD31" s="1" t="s">
        <v>330</v>
      </c>
      <c r="AE31" s="1" t="s">
        <v>331</v>
      </c>
      <c r="AF31" s="1" t="s">
        <v>332</v>
      </c>
    </row>
    <row r="32" spans="1:32" x14ac:dyDescent="0.2">
      <c r="A32" s="1" t="s">
        <v>32</v>
      </c>
      <c r="B32" s="2">
        <v>42816</v>
      </c>
      <c r="C32" s="1" t="s">
        <v>46</v>
      </c>
      <c r="D32" s="1" t="s">
        <v>51</v>
      </c>
      <c r="E32" s="1" t="s">
        <v>52</v>
      </c>
      <c r="G32" s="1" t="s">
        <v>333</v>
      </c>
      <c r="H32" s="1" t="s">
        <v>334</v>
      </c>
      <c r="I32" s="1">
        <v>4</v>
      </c>
      <c r="J32" s="1" t="s">
        <v>125</v>
      </c>
      <c r="K32" s="1" t="s">
        <v>126</v>
      </c>
      <c r="L32" s="1" t="s">
        <v>306</v>
      </c>
      <c r="M32" s="1" t="s">
        <v>312</v>
      </c>
      <c r="N32" s="1" t="s">
        <v>329</v>
      </c>
      <c r="O32" s="1">
        <v>1</v>
      </c>
      <c r="P32" s="1">
        <v>2.1110000000000002</v>
      </c>
      <c r="Q32" s="1" t="s">
        <v>39</v>
      </c>
      <c r="R32" s="1" t="s">
        <v>37</v>
      </c>
      <c r="S32" s="1" t="s">
        <v>38</v>
      </c>
      <c r="T32" s="1" t="s">
        <v>86</v>
      </c>
      <c r="U32" s="1" t="s">
        <v>87</v>
      </c>
      <c r="V32" s="1" t="s">
        <v>127</v>
      </c>
      <c r="W32" s="1" t="s">
        <v>128</v>
      </c>
      <c r="X32" s="1" t="s">
        <v>129</v>
      </c>
      <c r="Y32" s="1" t="s">
        <v>130</v>
      </c>
      <c r="Z32" s="1" t="s">
        <v>41</v>
      </c>
      <c r="AA32" s="1" t="s">
        <v>124</v>
      </c>
      <c r="AD32" s="1" t="s">
        <v>335</v>
      </c>
      <c r="AE32" s="1" t="s">
        <v>336</v>
      </c>
      <c r="AF32" s="1" t="s">
        <v>337</v>
      </c>
    </row>
    <row r="33" spans="1:32" x14ac:dyDescent="0.2">
      <c r="A33" s="1" t="s">
        <v>32</v>
      </c>
      <c r="B33" s="2">
        <v>42816</v>
      </c>
      <c r="C33" s="1" t="s">
        <v>46</v>
      </c>
      <c r="D33" s="1" t="s">
        <v>51</v>
      </c>
      <c r="E33" s="1" t="s">
        <v>52</v>
      </c>
      <c r="G33" s="1" t="s">
        <v>338</v>
      </c>
      <c r="H33" s="1" t="s">
        <v>71</v>
      </c>
      <c r="I33" s="1">
        <v>59</v>
      </c>
      <c r="J33" s="1" t="s">
        <v>125</v>
      </c>
      <c r="K33" s="1" t="s">
        <v>126</v>
      </c>
      <c r="L33" s="1" t="s">
        <v>306</v>
      </c>
      <c r="M33" s="1" t="s">
        <v>312</v>
      </c>
      <c r="N33" s="1" t="s">
        <v>329</v>
      </c>
      <c r="O33" s="1">
        <v>1</v>
      </c>
      <c r="P33" s="1">
        <v>2.1110000000000002</v>
      </c>
      <c r="Q33" s="1" t="s">
        <v>39</v>
      </c>
      <c r="R33" s="1" t="s">
        <v>37</v>
      </c>
      <c r="S33" s="1" t="s">
        <v>38</v>
      </c>
      <c r="T33" s="1" t="s">
        <v>80</v>
      </c>
      <c r="U33" s="1" t="s">
        <v>215</v>
      </c>
      <c r="V33" s="1" t="s">
        <v>101</v>
      </c>
      <c r="W33" s="1" t="s">
        <v>102</v>
      </c>
      <c r="X33" s="1" t="s">
        <v>120</v>
      </c>
      <c r="Y33" s="1" t="s">
        <v>121</v>
      </c>
      <c r="Z33" s="1" t="s">
        <v>41</v>
      </c>
      <c r="AA33" s="1" t="s">
        <v>124</v>
      </c>
      <c r="AD33" s="1" t="s">
        <v>339</v>
      </c>
      <c r="AE33" s="1" t="s">
        <v>340</v>
      </c>
      <c r="AF33" s="1" t="s">
        <v>341</v>
      </c>
    </row>
    <row r="34" spans="1:32" x14ac:dyDescent="0.2">
      <c r="A34" s="1" t="s">
        <v>32</v>
      </c>
      <c r="B34" s="2">
        <v>42816</v>
      </c>
      <c r="C34" s="1" t="s">
        <v>50</v>
      </c>
      <c r="D34" s="1" t="s">
        <v>98</v>
      </c>
      <c r="E34" s="1" t="s">
        <v>99</v>
      </c>
      <c r="G34" s="1" t="s">
        <v>178</v>
      </c>
      <c r="H34" s="1" t="s">
        <v>83</v>
      </c>
      <c r="I34" s="1">
        <v>30</v>
      </c>
      <c r="J34" s="1" t="s">
        <v>125</v>
      </c>
      <c r="K34" s="1" t="s">
        <v>126</v>
      </c>
      <c r="L34" s="1" t="s">
        <v>306</v>
      </c>
      <c r="M34" s="1" t="s">
        <v>312</v>
      </c>
      <c r="N34" s="1" t="s">
        <v>342</v>
      </c>
      <c r="O34" s="1">
        <v>1</v>
      </c>
      <c r="P34" s="1">
        <v>2.1110000000000002</v>
      </c>
      <c r="Q34" s="1" t="s">
        <v>39</v>
      </c>
      <c r="R34" s="1" t="s">
        <v>37</v>
      </c>
      <c r="S34" s="1" t="s">
        <v>38</v>
      </c>
      <c r="T34" s="1" t="s">
        <v>43</v>
      </c>
      <c r="U34" s="1" t="s">
        <v>135</v>
      </c>
      <c r="V34" s="1" t="s">
        <v>32</v>
      </c>
      <c r="W34" s="1" t="s">
        <v>32</v>
      </c>
      <c r="X34" s="1" t="s">
        <v>45</v>
      </c>
      <c r="Y34" s="1" t="s">
        <v>0</v>
      </c>
      <c r="Z34" s="1" t="s">
        <v>41</v>
      </c>
      <c r="AA34" s="1" t="s">
        <v>124</v>
      </c>
      <c r="AD34" s="1" t="s">
        <v>343</v>
      </c>
      <c r="AE34" s="1" t="s">
        <v>344</v>
      </c>
      <c r="AF34" s="1" t="s">
        <v>345</v>
      </c>
    </row>
    <row r="35" spans="1:32" x14ac:dyDescent="0.2">
      <c r="A35" s="1" t="s">
        <v>32</v>
      </c>
      <c r="B35" s="2">
        <v>42819</v>
      </c>
      <c r="C35" s="1" t="s">
        <v>50</v>
      </c>
      <c r="D35" s="1" t="s">
        <v>34</v>
      </c>
      <c r="E35" s="1" t="s">
        <v>35</v>
      </c>
      <c r="G35" s="1" t="s">
        <v>78</v>
      </c>
      <c r="H35" s="1" t="s">
        <v>353</v>
      </c>
      <c r="I35" s="1">
        <v>29</v>
      </c>
      <c r="J35" s="1" t="s">
        <v>346</v>
      </c>
      <c r="K35" s="1" t="s">
        <v>348</v>
      </c>
      <c r="L35" s="1" t="s">
        <v>349</v>
      </c>
      <c r="M35" s="1" t="s">
        <v>350</v>
      </c>
      <c r="N35" s="1" t="s">
        <v>351</v>
      </c>
      <c r="O35" s="1">
        <v>1</v>
      </c>
      <c r="P35" s="1">
        <v>1.7130000000000001</v>
      </c>
      <c r="Q35" s="1" t="s">
        <v>39</v>
      </c>
      <c r="R35" s="1" t="s">
        <v>58</v>
      </c>
      <c r="S35" s="1" t="s">
        <v>59</v>
      </c>
      <c r="T35" s="1" t="s">
        <v>60</v>
      </c>
      <c r="U35" s="1" t="s">
        <v>61</v>
      </c>
      <c r="V35" s="1" t="s">
        <v>131</v>
      </c>
      <c r="W35" s="1" t="s">
        <v>132</v>
      </c>
      <c r="X35" s="1" t="s">
        <v>133</v>
      </c>
      <c r="Y35" s="1" t="s">
        <v>134</v>
      </c>
      <c r="Z35" s="1" t="s">
        <v>41</v>
      </c>
      <c r="AA35" s="1" t="s">
        <v>352</v>
      </c>
      <c r="AD35" s="1" t="s">
        <v>354</v>
      </c>
      <c r="AE35" s="1" t="s">
        <v>355</v>
      </c>
      <c r="AF35" s="1" t="s">
        <v>356</v>
      </c>
    </row>
    <row r="36" spans="1:32" x14ac:dyDescent="0.2">
      <c r="A36" s="1" t="s">
        <v>32</v>
      </c>
      <c r="B36" s="2">
        <v>42819</v>
      </c>
      <c r="C36" s="1" t="s">
        <v>50</v>
      </c>
      <c r="D36" s="1" t="s">
        <v>34</v>
      </c>
      <c r="E36" s="1" t="s">
        <v>35</v>
      </c>
      <c r="G36" s="1" t="s">
        <v>353</v>
      </c>
      <c r="H36" s="1" t="s">
        <v>357</v>
      </c>
      <c r="I36" s="1">
        <v>70</v>
      </c>
      <c r="J36" s="1" t="s">
        <v>346</v>
      </c>
      <c r="K36" s="1" t="s">
        <v>348</v>
      </c>
      <c r="L36" s="1" t="s">
        <v>349</v>
      </c>
      <c r="M36" s="1" t="s">
        <v>350</v>
      </c>
      <c r="N36" s="1" t="s">
        <v>351</v>
      </c>
      <c r="O36" s="1">
        <v>1</v>
      </c>
      <c r="P36" s="1">
        <v>1.7130000000000001</v>
      </c>
      <c r="Q36" s="1" t="s">
        <v>39</v>
      </c>
      <c r="R36" s="1" t="s">
        <v>58</v>
      </c>
      <c r="S36" s="1" t="s">
        <v>59</v>
      </c>
      <c r="T36" s="1" t="s">
        <v>60</v>
      </c>
      <c r="U36" s="1" t="s">
        <v>61</v>
      </c>
      <c r="V36" s="1" t="s">
        <v>131</v>
      </c>
      <c r="W36" s="1" t="s">
        <v>132</v>
      </c>
      <c r="X36" s="1" t="s">
        <v>133</v>
      </c>
      <c r="Y36" s="1" t="s">
        <v>134</v>
      </c>
      <c r="Z36" s="1" t="s">
        <v>41</v>
      </c>
      <c r="AA36" s="1" t="s">
        <v>352</v>
      </c>
      <c r="AD36" s="1" t="s">
        <v>354</v>
      </c>
      <c r="AE36" s="1" t="s">
        <v>358</v>
      </c>
      <c r="AF36" s="1" t="s">
        <v>359</v>
      </c>
    </row>
    <row r="37" spans="1:32" x14ac:dyDescent="0.2">
      <c r="A37" s="1" t="s">
        <v>32</v>
      </c>
      <c r="B37" s="2">
        <v>42820</v>
      </c>
      <c r="C37" s="1" t="s">
        <v>50</v>
      </c>
      <c r="D37" s="1" t="s">
        <v>34</v>
      </c>
      <c r="E37" s="1" t="s">
        <v>35</v>
      </c>
      <c r="G37" s="1" t="s">
        <v>247</v>
      </c>
      <c r="H37" s="1" t="s">
        <v>145</v>
      </c>
      <c r="I37" s="1">
        <v>47</v>
      </c>
      <c r="J37" s="1" t="s">
        <v>36</v>
      </c>
      <c r="K37" s="1" t="s">
        <v>360</v>
      </c>
      <c r="L37" s="1" t="s">
        <v>361</v>
      </c>
      <c r="M37" s="1" t="s">
        <v>362</v>
      </c>
      <c r="N37" s="1" t="s">
        <v>363</v>
      </c>
      <c r="O37" s="1">
        <v>1</v>
      </c>
      <c r="P37" s="1">
        <v>1.855</v>
      </c>
      <c r="Q37" s="1" t="s">
        <v>39</v>
      </c>
      <c r="R37" s="1" t="s">
        <v>58</v>
      </c>
      <c r="S37" s="1" t="s">
        <v>59</v>
      </c>
      <c r="T37" s="1" t="s">
        <v>80</v>
      </c>
      <c r="U37" s="1" t="s">
        <v>109</v>
      </c>
      <c r="V37" s="1" t="s">
        <v>101</v>
      </c>
      <c r="W37" s="1" t="s">
        <v>102</v>
      </c>
      <c r="X37" s="1" t="s">
        <v>364</v>
      </c>
      <c r="Y37" s="1" t="s">
        <v>365</v>
      </c>
      <c r="Z37" s="1" t="s">
        <v>41</v>
      </c>
      <c r="AA37" s="1" t="s">
        <v>88</v>
      </c>
      <c r="AD37" s="1" t="s">
        <v>366</v>
      </c>
      <c r="AE37" s="1" t="s">
        <v>367</v>
      </c>
      <c r="AF37" s="1" t="s">
        <v>368</v>
      </c>
    </row>
    <row r="38" spans="1:32" x14ac:dyDescent="0.2">
      <c r="A38" s="1" t="s">
        <v>32</v>
      </c>
      <c r="B38" s="2">
        <v>42821</v>
      </c>
      <c r="C38" s="1" t="s">
        <v>33</v>
      </c>
      <c r="D38" s="1" t="s">
        <v>51</v>
      </c>
      <c r="E38" s="1" t="s">
        <v>52</v>
      </c>
      <c r="G38" s="1" t="s">
        <v>113</v>
      </c>
      <c r="H38" s="1" t="s">
        <v>54</v>
      </c>
      <c r="I38" s="1">
        <v>52</v>
      </c>
      <c r="J38" s="1" t="s">
        <v>36</v>
      </c>
      <c r="K38" s="1" t="s">
        <v>369</v>
      </c>
      <c r="L38" s="1" t="s">
        <v>370</v>
      </c>
      <c r="M38" s="1" t="s">
        <v>362</v>
      </c>
      <c r="N38" s="1" t="s">
        <v>371</v>
      </c>
      <c r="O38" s="1">
        <v>1</v>
      </c>
      <c r="P38" s="1">
        <v>1.855</v>
      </c>
      <c r="Q38" s="1" t="s">
        <v>39</v>
      </c>
      <c r="R38" s="1" t="s">
        <v>84</v>
      </c>
      <c r="S38" s="1" t="s">
        <v>85</v>
      </c>
      <c r="T38" s="1" t="s">
        <v>43</v>
      </c>
      <c r="U38" s="1" t="s">
        <v>122</v>
      </c>
      <c r="V38" s="1" t="s">
        <v>114</v>
      </c>
      <c r="W38" s="1" t="s">
        <v>115</v>
      </c>
      <c r="X38" s="1" t="s">
        <v>116</v>
      </c>
      <c r="Y38" s="1" t="s">
        <v>117</v>
      </c>
      <c r="Z38" s="1" t="s">
        <v>41</v>
      </c>
      <c r="AA38" s="1" t="s">
        <v>56</v>
      </c>
      <c r="AD38" s="1" t="s">
        <v>372</v>
      </c>
      <c r="AE38" s="1" t="s">
        <v>373</v>
      </c>
      <c r="AF38" s="1" t="s">
        <v>374</v>
      </c>
    </row>
    <row r="39" spans="1:32" x14ac:dyDescent="0.2">
      <c r="A39" s="1" t="s">
        <v>32</v>
      </c>
      <c r="B39" s="2">
        <v>42822</v>
      </c>
      <c r="C39" s="1" t="s">
        <v>46</v>
      </c>
      <c r="D39" s="1" t="s">
        <v>34</v>
      </c>
      <c r="E39" s="1" t="s">
        <v>375</v>
      </c>
      <c r="G39" s="1" t="s">
        <v>406</v>
      </c>
      <c r="H39" s="1" t="s">
        <v>74</v>
      </c>
      <c r="I39" s="1">
        <v>62</v>
      </c>
      <c r="J39" s="1" t="s">
        <v>385</v>
      </c>
      <c r="K39" s="1" t="s">
        <v>386</v>
      </c>
      <c r="L39" s="1" t="s">
        <v>387</v>
      </c>
      <c r="M39" s="1" t="s">
        <v>376</v>
      </c>
      <c r="N39" s="1" t="s">
        <v>377</v>
      </c>
      <c r="O39" s="1">
        <v>1</v>
      </c>
      <c r="P39" s="1">
        <v>2.0310000000000001</v>
      </c>
      <c r="Q39" s="1" t="s">
        <v>39</v>
      </c>
      <c r="R39" s="1" t="s">
        <v>37</v>
      </c>
      <c r="S39" s="1" t="s">
        <v>38</v>
      </c>
      <c r="T39" s="1" t="s">
        <v>86</v>
      </c>
      <c r="U39" s="1" t="s">
        <v>407</v>
      </c>
      <c r="V39" s="1" t="s">
        <v>101</v>
      </c>
      <c r="W39" s="1" t="s">
        <v>102</v>
      </c>
      <c r="X39" s="1" t="s">
        <v>408</v>
      </c>
      <c r="Y39" s="1" t="s">
        <v>409</v>
      </c>
      <c r="Z39" s="1" t="s">
        <v>41</v>
      </c>
      <c r="AA39" s="1" t="s">
        <v>378</v>
      </c>
      <c r="AD39" s="1" t="s">
        <v>410</v>
      </c>
      <c r="AE39" s="1" t="s">
        <v>411</v>
      </c>
      <c r="AF39" s="1" t="s">
        <v>412</v>
      </c>
    </row>
    <row r="40" spans="1:32" x14ac:dyDescent="0.2">
      <c r="A40" s="1" t="s">
        <v>32</v>
      </c>
      <c r="B40" s="2">
        <v>42822</v>
      </c>
      <c r="C40" s="1" t="s">
        <v>46</v>
      </c>
      <c r="D40" s="1" t="s">
        <v>34</v>
      </c>
      <c r="E40" s="1" t="s">
        <v>375</v>
      </c>
      <c r="G40" s="1" t="s">
        <v>74</v>
      </c>
      <c r="H40" s="1" t="s">
        <v>413</v>
      </c>
      <c r="I40" s="1">
        <v>85</v>
      </c>
      <c r="J40" s="1" t="s">
        <v>385</v>
      </c>
      <c r="K40" s="1" t="s">
        <v>386</v>
      </c>
      <c r="L40" s="1" t="s">
        <v>387</v>
      </c>
      <c r="M40" s="1" t="s">
        <v>376</v>
      </c>
      <c r="N40" s="1" t="s">
        <v>377</v>
      </c>
      <c r="O40" s="1">
        <v>1</v>
      </c>
      <c r="P40" s="1">
        <v>2.0310000000000001</v>
      </c>
      <c r="Q40" s="1" t="s">
        <v>39</v>
      </c>
      <c r="R40" s="1" t="s">
        <v>58</v>
      </c>
      <c r="S40" s="1" t="s">
        <v>59</v>
      </c>
      <c r="T40" s="1" t="s">
        <v>60</v>
      </c>
      <c r="U40" s="1" t="s">
        <v>61</v>
      </c>
      <c r="V40" s="1" t="s">
        <v>131</v>
      </c>
      <c r="W40" s="1" t="s">
        <v>132</v>
      </c>
      <c r="X40" s="1" t="s">
        <v>133</v>
      </c>
      <c r="Y40" s="1" t="s">
        <v>134</v>
      </c>
      <c r="Z40" s="1" t="s">
        <v>41</v>
      </c>
      <c r="AA40" s="1" t="s">
        <v>378</v>
      </c>
      <c r="AD40" s="1" t="s">
        <v>414</v>
      </c>
      <c r="AE40" s="1" t="s">
        <v>415</v>
      </c>
      <c r="AF40" s="1" t="s">
        <v>416</v>
      </c>
    </row>
    <row r="41" spans="1:32" x14ac:dyDescent="0.2">
      <c r="A41" s="1" t="s">
        <v>32</v>
      </c>
      <c r="B41" s="2">
        <v>42823</v>
      </c>
      <c r="C41" s="1" t="s">
        <v>50</v>
      </c>
      <c r="D41" s="1" t="s">
        <v>47</v>
      </c>
      <c r="E41" s="1" t="s">
        <v>294</v>
      </c>
      <c r="G41" s="1" t="s">
        <v>79</v>
      </c>
      <c r="H41" s="1" t="s">
        <v>171</v>
      </c>
      <c r="I41" s="1">
        <v>16</v>
      </c>
      <c r="J41" s="1" t="s">
        <v>36</v>
      </c>
      <c r="K41" s="1" t="s">
        <v>388</v>
      </c>
      <c r="L41" s="1" t="s">
        <v>389</v>
      </c>
      <c r="M41" s="1" t="s">
        <v>390</v>
      </c>
      <c r="N41" s="1" t="s">
        <v>391</v>
      </c>
      <c r="O41" s="1">
        <v>1</v>
      </c>
      <c r="P41" s="1">
        <v>2.1019999999999999</v>
      </c>
      <c r="Q41" s="1" t="s">
        <v>39</v>
      </c>
      <c r="R41" s="1" t="s">
        <v>37</v>
      </c>
      <c r="S41" s="1" t="s">
        <v>38</v>
      </c>
      <c r="T41" s="1" t="s">
        <v>118</v>
      </c>
      <c r="U41" s="1" t="s">
        <v>119</v>
      </c>
      <c r="V41" s="1" t="s">
        <v>131</v>
      </c>
      <c r="W41" s="1" t="s">
        <v>132</v>
      </c>
      <c r="X41" s="1" t="s">
        <v>392</v>
      </c>
      <c r="Y41" s="1" t="s">
        <v>393</v>
      </c>
      <c r="Z41" s="1" t="s">
        <v>41</v>
      </c>
      <c r="AA41" s="1" t="s">
        <v>394</v>
      </c>
      <c r="AD41" s="1" t="s">
        <v>395</v>
      </c>
      <c r="AE41" s="1" t="s">
        <v>396</v>
      </c>
      <c r="AF41" s="1" t="s">
        <v>397</v>
      </c>
    </row>
    <row r="42" spans="1:32" x14ac:dyDescent="0.2">
      <c r="A42" s="1" t="s">
        <v>32</v>
      </c>
      <c r="B42" s="2">
        <v>42824</v>
      </c>
      <c r="C42" s="1" t="s">
        <v>46</v>
      </c>
      <c r="D42" s="1" t="s">
        <v>34</v>
      </c>
      <c r="E42" s="1" t="s">
        <v>35</v>
      </c>
      <c r="G42" s="1" t="s">
        <v>402</v>
      </c>
      <c r="H42" s="1" t="s">
        <v>246</v>
      </c>
      <c r="I42" s="1">
        <v>29</v>
      </c>
      <c r="J42" s="1" t="s">
        <v>36</v>
      </c>
      <c r="K42" s="1" t="s">
        <v>398</v>
      </c>
      <c r="L42" s="1" t="s">
        <v>399</v>
      </c>
      <c r="M42" s="1" t="s">
        <v>400</v>
      </c>
      <c r="N42" s="1" t="s">
        <v>403</v>
      </c>
      <c r="O42" s="1">
        <v>1</v>
      </c>
      <c r="P42" s="1">
        <v>1.996</v>
      </c>
      <c r="Q42" s="1" t="s">
        <v>39</v>
      </c>
      <c r="R42" s="1" t="s">
        <v>58</v>
      </c>
      <c r="S42" s="1" t="s">
        <v>59</v>
      </c>
      <c r="T42" s="1" t="s">
        <v>80</v>
      </c>
      <c r="U42" s="1" t="s">
        <v>81</v>
      </c>
      <c r="V42" s="1" t="s">
        <v>62</v>
      </c>
      <c r="W42" s="1" t="s">
        <v>63</v>
      </c>
      <c r="X42" s="1" t="s">
        <v>206</v>
      </c>
      <c r="Y42" s="1" t="s">
        <v>207</v>
      </c>
      <c r="Z42" s="1" t="s">
        <v>41</v>
      </c>
      <c r="AA42" s="1" t="s">
        <v>401</v>
      </c>
      <c r="AD42" s="1" t="s">
        <v>347</v>
      </c>
      <c r="AE42" s="1" t="s">
        <v>404</v>
      </c>
      <c r="AF42" s="1" t="s">
        <v>405</v>
      </c>
    </row>
  </sheetData>
  <autoFilter ref="A1:AF42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00"/>
  <sheetViews>
    <sheetView tabSelected="1" view="pageBreakPreview" zoomScale="80" zoomScaleNormal="60" zoomScaleSheetLayoutView="80" workbookViewId="0">
      <selection activeCell="P4" sqref="P4"/>
    </sheetView>
  </sheetViews>
  <sheetFormatPr defaultRowHeight="12.75" x14ac:dyDescent="0.2"/>
  <cols>
    <col min="1" max="1" width="9.140625" style="21"/>
    <col min="2" max="2" width="9.140625" style="15"/>
    <col min="6" max="6" width="9.140625" style="21"/>
    <col min="8" max="8" width="9.140625" style="15"/>
    <col min="9" max="9" width="9.5703125" bestFit="1" customWidth="1"/>
    <col min="12" max="12" width="9.140625" style="21"/>
    <col min="16" max="16" width="9.140625" style="15"/>
    <col min="20" max="20" width="9.140625" style="21"/>
  </cols>
  <sheetData>
    <row r="1" spans="7:18" ht="19.5" x14ac:dyDescent="0.35">
      <c r="G1" s="16"/>
      <c r="H1" s="17"/>
      <c r="I1" s="16"/>
      <c r="J1" s="16"/>
      <c r="K1" s="16"/>
      <c r="L1" s="22"/>
      <c r="M1" s="16"/>
      <c r="N1" s="16"/>
      <c r="O1" s="16"/>
      <c r="P1" s="17"/>
      <c r="Q1" s="16"/>
      <c r="R1" s="16"/>
    </row>
    <row r="2" spans="7:18" ht="19.5" x14ac:dyDescent="0.35">
      <c r="G2" s="16"/>
      <c r="H2" s="17"/>
      <c r="I2" s="16"/>
      <c r="J2" s="16"/>
      <c r="K2" s="16"/>
      <c r="L2" s="22"/>
      <c r="M2" s="16"/>
      <c r="N2" s="16"/>
      <c r="O2" s="16"/>
      <c r="P2" s="17"/>
      <c r="Q2" s="16"/>
      <c r="R2" s="16"/>
    </row>
    <row r="3" spans="7:18" ht="19.5" x14ac:dyDescent="0.35">
      <c r="G3" s="23"/>
      <c r="H3" s="23"/>
      <c r="I3" s="23"/>
      <c r="J3" s="23"/>
      <c r="K3" s="23"/>
      <c r="L3" s="22"/>
      <c r="M3" s="16"/>
      <c r="N3" s="16"/>
      <c r="O3" s="16"/>
      <c r="P3" s="19"/>
      <c r="Q3" s="16"/>
      <c r="R3" s="16"/>
    </row>
    <row r="4" spans="7:18" ht="19.5" x14ac:dyDescent="0.35">
      <c r="H4" s="17"/>
      <c r="I4" s="20" t="s">
        <v>429</v>
      </c>
      <c r="J4" s="16"/>
      <c r="K4" s="16"/>
      <c r="L4" s="22"/>
      <c r="M4" s="16"/>
      <c r="N4" s="16"/>
      <c r="O4" s="16"/>
      <c r="P4" s="19"/>
      <c r="Q4" s="16"/>
      <c r="R4" s="16"/>
    </row>
    <row r="5" spans="7:18" ht="19.5" x14ac:dyDescent="0.35">
      <c r="H5" s="17"/>
      <c r="I5" s="18"/>
      <c r="J5" s="16"/>
      <c r="K5" s="16"/>
      <c r="L5" s="22"/>
      <c r="M5" s="16"/>
      <c r="N5" s="16"/>
      <c r="O5" s="16"/>
      <c r="P5" s="17"/>
      <c r="Q5" s="16"/>
      <c r="R5" s="16"/>
    </row>
    <row r="88" ht="12.75" customHeight="1" x14ac:dyDescent="0.2"/>
    <row r="90" ht="12.75" customHeight="1" x14ac:dyDescent="0.2"/>
    <row r="99" spans="1:29" ht="58.15" customHeight="1" x14ac:dyDescent="0.2">
      <c r="A99" s="24" t="s">
        <v>436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:29" ht="58.15" customHeight="1" x14ac:dyDescent="0.2">
      <c r="A100" s="25" t="s">
        <v>438</v>
      </c>
      <c r="B100" s="25"/>
      <c r="C100" s="25"/>
      <c r="D100" s="25"/>
      <c r="E100" s="25"/>
      <c r="F100" s="24" t="s">
        <v>29</v>
      </c>
      <c r="G100" s="24"/>
      <c r="H100" s="24"/>
      <c r="I100" s="24"/>
      <c r="J100" s="24"/>
      <c r="K100" s="24"/>
      <c r="L100" s="24" t="s">
        <v>30</v>
      </c>
      <c r="M100" s="24"/>
      <c r="N100" s="24"/>
      <c r="O100" s="24"/>
      <c r="P100" s="24"/>
      <c r="Q100" s="24"/>
      <c r="R100" s="24"/>
      <c r="S100" s="24"/>
      <c r="T100" s="24" t="s">
        <v>437</v>
      </c>
      <c r="U100" s="24"/>
      <c r="V100" s="24"/>
      <c r="W100" s="24"/>
      <c r="X100" s="24"/>
      <c r="Y100" s="24"/>
      <c r="Z100" s="24"/>
      <c r="AA100" s="24"/>
      <c r="AB100" s="24"/>
      <c r="AC100" s="24"/>
    </row>
  </sheetData>
  <mergeCells count="6">
    <mergeCell ref="G3:K3"/>
    <mergeCell ref="A99:AC99"/>
    <mergeCell ref="A100:E100"/>
    <mergeCell ref="F100:K100"/>
    <mergeCell ref="L100:S100"/>
    <mergeCell ref="T100:AC100"/>
  </mergeCells>
  <printOptions horizontalCentered="1"/>
  <pageMargins left="0" right="0" top="0.74803149606299213" bottom="0.7480314960629921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A3" sqref="A3:E8"/>
    </sheetView>
  </sheetViews>
  <sheetFormatPr defaultRowHeight="12.75" x14ac:dyDescent="0.2"/>
  <cols>
    <col min="1" max="1" width="6.42578125" bestFit="1" customWidth="1"/>
    <col min="3" max="3" width="12.42578125" bestFit="1" customWidth="1"/>
    <col min="4" max="4" width="12.28515625" bestFit="1" customWidth="1"/>
    <col min="5" max="5" width="23.140625" bestFit="1" customWidth="1"/>
  </cols>
  <sheetData>
    <row r="1" spans="1:5" ht="12.75" customHeight="1" x14ac:dyDescent="0.2">
      <c r="A1" s="26" t="s">
        <v>429</v>
      </c>
      <c r="B1" s="26"/>
      <c r="C1" s="26"/>
      <c r="D1" s="26"/>
      <c r="E1" s="26"/>
    </row>
    <row r="2" spans="1:5" x14ac:dyDescent="0.2">
      <c r="A2" s="3" t="s">
        <v>429</v>
      </c>
      <c r="B2" s="3"/>
      <c r="C2" s="8" t="s">
        <v>418</v>
      </c>
      <c r="D2" s="8" t="s">
        <v>417</v>
      </c>
      <c r="E2" s="8" t="s">
        <v>434</v>
      </c>
    </row>
    <row r="3" spans="1:5" x14ac:dyDescent="0.2">
      <c r="A3" s="12"/>
      <c r="B3" s="12"/>
      <c r="C3" s="3"/>
      <c r="D3" s="3"/>
      <c r="E3" s="3"/>
    </row>
    <row r="4" spans="1:5" x14ac:dyDescent="0.2">
      <c r="A4" s="12"/>
      <c r="B4" s="12"/>
      <c r="C4" s="3"/>
      <c r="D4" s="3"/>
      <c r="E4" s="3"/>
    </row>
    <row r="5" spans="1:5" x14ac:dyDescent="0.2">
      <c r="A5" s="12"/>
      <c r="B5" s="12"/>
      <c r="C5" s="3"/>
      <c r="D5" s="3"/>
      <c r="E5" s="3"/>
    </row>
    <row r="6" spans="1:5" x14ac:dyDescent="0.2">
      <c r="A6" s="12"/>
      <c r="B6" s="12"/>
      <c r="C6" s="3"/>
      <c r="D6" s="3"/>
      <c r="E6" s="3"/>
    </row>
    <row r="7" spans="1:5" x14ac:dyDescent="0.2">
      <c r="A7" s="12"/>
      <c r="B7" s="12"/>
      <c r="C7" s="3"/>
      <c r="D7" s="3"/>
      <c r="E7" s="3"/>
    </row>
    <row r="8" spans="1:5" x14ac:dyDescent="0.2">
      <c r="A8" s="12"/>
      <c r="B8" s="12"/>
      <c r="C8" s="3"/>
      <c r="D8" s="3"/>
      <c r="E8" s="3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B3" sqref="B3:C32"/>
    </sheetView>
  </sheetViews>
  <sheetFormatPr defaultRowHeight="12.75" x14ac:dyDescent="0.2"/>
  <cols>
    <col min="1" max="1" width="6.28515625" bestFit="1" customWidth="1"/>
    <col min="2" max="2" width="6.42578125" bestFit="1" customWidth="1"/>
    <col min="3" max="3" width="9.85546875" bestFit="1" customWidth="1"/>
  </cols>
  <sheetData>
    <row r="1" spans="1:3" x14ac:dyDescent="0.2">
      <c r="A1" s="26" t="s">
        <v>433</v>
      </c>
      <c r="B1" s="26"/>
      <c r="C1" s="26"/>
    </row>
    <row r="2" spans="1:3" x14ac:dyDescent="0.2">
      <c r="A2" s="8" t="s">
        <v>1</v>
      </c>
      <c r="B2" s="8" t="s">
        <v>429</v>
      </c>
      <c r="C2" s="8" t="s">
        <v>431</v>
      </c>
    </row>
    <row r="3" spans="1:3" x14ac:dyDescent="0.2">
      <c r="A3" s="3">
        <v>1</v>
      </c>
      <c r="B3" s="3"/>
      <c r="C3" s="3"/>
    </row>
    <row r="4" spans="1:3" x14ac:dyDescent="0.2">
      <c r="A4" s="3">
        <v>2</v>
      </c>
      <c r="B4" s="3"/>
      <c r="C4" s="3"/>
    </row>
    <row r="5" spans="1:3" x14ac:dyDescent="0.2">
      <c r="A5" s="3">
        <v>3</v>
      </c>
      <c r="B5" s="3"/>
      <c r="C5" s="3"/>
    </row>
    <row r="6" spans="1:3" x14ac:dyDescent="0.2">
      <c r="A6" s="3">
        <v>4</v>
      </c>
      <c r="B6" s="3"/>
      <c r="C6" s="3"/>
    </row>
    <row r="7" spans="1:3" x14ac:dyDescent="0.2">
      <c r="A7" s="3">
        <v>5</v>
      </c>
      <c r="B7" s="3"/>
      <c r="C7" s="3"/>
    </row>
    <row r="8" spans="1:3" x14ac:dyDescent="0.2">
      <c r="A8" s="3">
        <v>6</v>
      </c>
      <c r="B8" s="3"/>
      <c r="C8" s="3"/>
    </row>
    <row r="9" spans="1:3" x14ac:dyDescent="0.2">
      <c r="A9" s="3">
        <v>7</v>
      </c>
      <c r="B9" s="3"/>
      <c r="C9" s="3"/>
    </row>
    <row r="10" spans="1:3" x14ac:dyDescent="0.2">
      <c r="A10" s="3">
        <v>8</v>
      </c>
      <c r="B10" s="3"/>
      <c r="C10" s="3"/>
    </row>
    <row r="11" spans="1:3" x14ac:dyDescent="0.2">
      <c r="A11" s="3">
        <v>9</v>
      </c>
      <c r="B11" s="3"/>
      <c r="C11" s="3"/>
    </row>
    <row r="12" spans="1:3" x14ac:dyDescent="0.2">
      <c r="A12" s="3">
        <v>10</v>
      </c>
      <c r="B12" s="3"/>
      <c r="C12" s="3"/>
    </row>
    <row r="13" spans="1:3" x14ac:dyDescent="0.2">
      <c r="A13" s="3">
        <v>11</v>
      </c>
      <c r="B13" s="3"/>
      <c r="C13" s="3"/>
    </row>
    <row r="14" spans="1:3" x14ac:dyDescent="0.2">
      <c r="A14" s="3">
        <v>12</v>
      </c>
      <c r="B14" s="3"/>
      <c r="C14" s="3"/>
    </row>
    <row r="15" spans="1:3" x14ac:dyDescent="0.2">
      <c r="A15" s="3">
        <v>13</v>
      </c>
      <c r="B15" s="3"/>
      <c r="C15" s="3"/>
    </row>
    <row r="16" spans="1:3" x14ac:dyDescent="0.2">
      <c r="A16" s="3">
        <v>14</v>
      </c>
      <c r="B16" s="3"/>
      <c r="C16" s="3"/>
    </row>
    <row r="17" spans="1:3" x14ac:dyDescent="0.2">
      <c r="A17" s="3">
        <v>15</v>
      </c>
      <c r="B17" s="3"/>
      <c r="C17" s="3"/>
    </row>
    <row r="18" spans="1:3" x14ac:dyDescent="0.2">
      <c r="A18" s="3">
        <v>16</v>
      </c>
      <c r="B18" s="3"/>
      <c r="C18" s="3"/>
    </row>
    <row r="19" spans="1:3" x14ac:dyDescent="0.2">
      <c r="A19" s="3">
        <v>17</v>
      </c>
      <c r="B19" s="3"/>
      <c r="C19" s="3"/>
    </row>
    <row r="20" spans="1:3" x14ac:dyDescent="0.2">
      <c r="A20" s="3">
        <v>18</v>
      </c>
      <c r="B20" s="3"/>
      <c r="C20" s="3"/>
    </row>
    <row r="21" spans="1:3" x14ac:dyDescent="0.2">
      <c r="A21" s="3">
        <v>19</v>
      </c>
      <c r="B21" s="3"/>
      <c r="C21" s="3"/>
    </row>
    <row r="22" spans="1:3" x14ac:dyDescent="0.2">
      <c r="A22" s="3">
        <v>20</v>
      </c>
      <c r="B22" s="3"/>
      <c r="C22" s="3"/>
    </row>
    <row r="23" spans="1:3" x14ac:dyDescent="0.2">
      <c r="A23" s="3">
        <v>21</v>
      </c>
      <c r="B23" s="3"/>
      <c r="C23" s="3"/>
    </row>
    <row r="24" spans="1:3" x14ac:dyDescent="0.2">
      <c r="A24" s="3">
        <v>22</v>
      </c>
      <c r="B24" s="3"/>
      <c r="C24" s="3"/>
    </row>
    <row r="25" spans="1:3" x14ac:dyDescent="0.2">
      <c r="A25" s="3">
        <v>23</v>
      </c>
      <c r="B25" s="3"/>
      <c r="C25" s="3"/>
    </row>
    <row r="26" spans="1:3" x14ac:dyDescent="0.2">
      <c r="A26" s="3">
        <v>24</v>
      </c>
      <c r="B26" s="3"/>
      <c r="C26" s="3"/>
    </row>
    <row r="27" spans="1:3" x14ac:dyDescent="0.2">
      <c r="A27" s="3">
        <v>25</v>
      </c>
      <c r="B27" s="3"/>
      <c r="C27" s="3"/>
    </row>
    <row r="28" spans="1:3" x14ac:dyDescent="0.2">
      <c r="A28" s="3">
        <v>26</v>
      </c>
      <c r="B28" s="3"/>
      <c r="C28" s="3"/>
    </row>
    <row r="29" spans="1:3" x14ac:dyDescent="0.2">
      <c r="A29" s="3">
        <v>27</v>
      </c>
      <c r="B29" s="3"/>
      <c r="C29" s="3"/>
    </row>
    <row r="30" spans="1:3" x14ac:dyDescent="0.2">
      <c r="A30" s="3">
        <v>28</v>
      </c>
      <c r="B30" s="3"/>
      <c r="C30" s="3"/>
    </row>
    <row r="31" spans="1:3" x14ac:dyDescent="0.2">
      <c r="A31" s="3">
        <v>29</v>
      </c>
      <c r="B31" s="3"/>
      <c r="C31" s="3"/>
    </row>
    <row r="32" spans="1:3" x14ac:dyDescent="0.2">
      <c r="A32" s="3">
        <v>30</v>
      </c>
      <c r="B32" s="3"/>
      <c r="C32" s="3"/>
    </row>
    <row r="33" spans="1:3" x14ac:dyDescent="0.2">
      <c r="A33" s="3">
        <v>31</v>
      </c>
      <c r="B33" s="3"/>
      <c r="C33" s="3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A3" sqref="A3:XFD45"/>
    </sheetView>
  </sheetViews>
  <sheetFormatPr defaultRowHeight="12.75" x14ac:dyDescent="0.2"/>
  <cols>
    <col min="1" max="1" width="14" bestFit="1" customWidth="1"/>
    <col min="2" max="2" width="6.42578125" bestFit="1" customWidth="1"/>
  </cols>
  <sheetData>
    <row r="1" spans="1:2" x14ac:dyDescent="0.2">
      <c r="A1" s="27" t="s">
        <v>432</v>
      </c>
      <c r="B1" s="28"/>
    </row>
    <row r="2" spans="1:2" x14ac:dyDescent="0.2">
      <c r="A2" s="8" t="s">
        <v>430</v>
      </c>
      <c r="B2" s="8" t="s">
        <v>429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:XFD47"/>
    </sheetView>
  </sheetViews>
  <sheetFormatPr defaultRowHeight="12.75" x14ac:dyDescent="0.2"/>
  <cols>
    <col min="1" max="256" width="23" customWidth="1"/>
  </cols>
  <sheetData>
    <row r="1" spans="1:2" x14ac:dyDescent="0.2">
      <c r="A1" s="27" t="s">
        <v>435</v>
      </c>
      <c r="B1" s="28"/>
    </row>
    <row r="2" spans="1:2" x14ac:dyDescent="0.2">
      <c r="A2" s="8" t="s">
        <v>430</v>
      </c>
      <c r="B2" s="8" t="s">
        <v>429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A3" sqref="A3:XFD8"/>
    </sheetView>
  </sheetViews>
  <sheetFormatPr defaultRowHeight="12.75" x14ac:dyDescent="0.2"/>
  <cols>
    <col min="1" max="1" width="28.140625" bestFit="1" customWidth="1"/>
    <col min="2" max="2" width="8.85546875" bestFit="1" customWidth="1"/>
    <col min="3" max="3" width="7.140625" style="14" bestFit="1" customWidth="1"/>
    <col min="4" max="4" width="10.140625" style="14" bestFit="1" customWidth="1"/>
  </cols>
  <sheetData>
    <row r="1" spans="1:4" x14ac:dyDescent="0.2">
      <c r="A1" s="26" t="s">
        <v>424</v>
      </c>
      <c r="B1" s="26"/>
      <c r="C1" s="26"/>
      <c r="D1" s="26"/>
    </row>
    <row r="2" spans="1:4" x14ac:dyDescent="0.2">
      <c r="A2" s="9" t="s">
        <v>383</v>
      </c>
      <c r="B2" s="10" t="s">
        <v>215</v>
      </c>
      <c r="C2" s="13" t="s">
        <v>422</v>
      </c>
      <c r="D2" s="13" t="s">
        <v>423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A3" sqref="A3:XFD10"/>
    </sheetView>
  </sheetViews>
  <sheetFormatPr defaultRowHeight="12.75" x14ac:dyDescent="0.2"/>
  <cols>
    <col min="1" max="1" width="28.42578125" bestFit="1" customWidth="1"/>
    <col min="2" max="2" width="9.7109375" bestFit="1" customWidth="1"/>
    <col min="3" max="3" width="5.28515625" bestFit="1" customWidth="1"/>
  </cols>
  <sheetData>
    <row r="1" spans="1:3" x14ac:dyDescent="0.2">
      <c r="A1" s="26" t="s">
        <v>428</v>
      </c>
      <c r="B1" s="26"/>
      <c r="C1" s="26"/>
    </row>
    <row r="2" spans="1:3" x14ac:dyDescent="0.2">
      <c r="A2" s="3" t="s">
        <v>382</v>
      </c>
      <c r="B2" s="8" t="s">
        <v>381</v>
      </c>
      <c r="C2" s="8" t="s">
        <v>421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4"/>
  <sheetViews>
    <sheetView workbookViewId="0">
      <selection activeCell="B3" sqref="B3:C33"/>
    </sheetView>
  </sheetViews>
  <sheetFormatPr defaultRowHeight="12.75" x14ac:dyDescent="0.2"/>
  <cols>
    <col min="1" max="1" width="12.42578125" bestFit="1" customWidth="1"/>
    <col min="2" max="2" width="12.28515625" bestFit="1" customWidth="1"/>
    <col min="3" max="3" width="7.7109375" bestFit="1" customWidth="1"/>
  </cols>
  <sheetData>
    <row r="1" spans="1:3" x14ac:dyDescent="0.2">
      <c r="A1" s="26" t="s">
        <v>380</v>
      </c>
      <c r="B1" s="26"/>
      <c r="C1" s="26"/>
    </row>
    <row r="2" spans="1:3" x14ac:dyDescent="0.2">
      <c r="A2" s="3" t="s">
        <v>384</v>
      </c>
      <c r="B2" s="8" t="s">
        <v>417</v>
      </c>
      <c r="C2" s="8" t="s">
        <v>419</v>
      </c>
    </row>
    <row r="3" spans="1:3" x14ac:dyDescent="0.2">
      <c r="A3" s="5">
        <v>1</v>
      </c>
      <c r="B3" s="4"/>
      <c r="C3" s="3"/>
    </row>
    <row r="4" spans="1:3" x14ac:dyDescent="0.2">
      <c r="A4" s="5">
        <v>2</v>
      </c>
      <c r="B4" s="4"/>
      <c r="C4" s="3"/>
    </row>
    <row r="5" spans="1:3" x14ac:dyDescent="0.2">
      <c r="A5" s="5">
        <v>3</v>
      </c>
      <c r="B5" s="4"/>
      <c r="C5" s="3"/>
    </row>
    <row r="6" spans="1:3" x14ac:dyDescent="0.2">
      <c r="A6" s="5">
        <v>4</v>
      </c>
      <c r="B6" s="4"/>
      <c r="C6" s="3"/>
    </row>
    <row r="7" spans="1:3" x14ac:dyDescent="0.2">
      <c r="A7" s="5">
        <v>5</v>
      </c>
      <c r="B7" s="4"/>
      <c r="C7" s="3"/>
    </row>
    <row r="8" spans="1:3" x14ac:dyDescent="0.2">
      <c r="A8" s="5">
        <v>6</v>
      </c>
      <c r="B8" s="4"/>
      <c r="C8" s="3"/>
    </row>
    <row r="9" spans="1:3" x14ac:dyDescent="0.2">
      <c r="A9" s="5">
        <v>7</v>
      </c>
      <c r="B9" s="4"/>
      <c r="C9" s="3"/>
    </row>
    <row r="10" spans="1:3" x14ac:dyDescent="0.2">
      <c r="A10" s="5">
        <v>8</v>
      </c>
      <c r="B10" s="4"/>
      <c r="C10" s="3"/>
    </row>
    <row r="11" spans="1:3" x14ac:dyDescent="0.2">
      <c r="A11" s="5">
        <v>9</v>
      </c>
      <c r="B11" s="4"/>
      <c r="C11" s="3"/>
    </row>
    <row r="12" spans="1:3" x14ac:dyDescent="0.2">
      <c r="A12" s="5">
        <v>10</v>
      </c>
      <c r="B12" s="4"/>
      <c r="C12" s="3"/>
    </row>
    <row r="13" spans="1:3" x14ac:dyDescent="0.2">
      <c r="A13" s="5">
        <v>11</v>
      </c>
      <c r="B13" s="4"/>
      <c r="C13" s="3"/>
    </row>
    <row r="14" spans="1:3" x14ac:dyDescent="0.2">
      <c r="A14" s="5">
        <v>12</v>
      </c>
      <c r="B14" s="4"/>
      <c r="C14" s="3"/>
    </row>
    <row r="15" spans="1:3" x14ac:dyDescent="0.2">
      <c r="A15" s="5">
        <v>13</v>
      </c>
      <c r="B15" s="4"/>
      <c r="C15" s="3"/>
    </row>
    <row r="16" spans="1:3" x14ac:dyDescent="0.2">
      <c r="A16" s="5">
        <v>14</v>
      </c>
      <c r="B16" s="4"/>
      <c r="C16" s="3"/>
    </row>
    <row r="17" spans="1:3" x14ac:dyDescent="0.2">
      <c r="A17" s="5">
        <v>15</v>
      </c>
      <c r="B17" s="4"/>
      <c r="C17" s="3"/>
    </row>
    <row r="18" spans="1:3" x14ac:dyDescent="0.2">
      <c r="A18" s="5">
        <v>16</v>
      </c>
      <c r="B18" s="4"/>
      <c r="C18" s="3"/>
    </row>
    <row r="19" spans="1:3" x14ac:dyDescent="0.2">
      <c r="A19" s="5">
        <v>17</v>
      </c>
      <c r="B19" s="3"/>
      <c r="C19" s="4"/>
    </row>
    <row r="20" spans="1:3" x14ac:dyDescent="0.2">
      <c r="A20" s="5">
        <v>18</v>
      </c>
      <c r="B20" s="3"/>
      <c r="C20" s="4"/>
    </row>
    <row r="21" spans="1:3" x14ac:dyDescent="0.2">
      <c r="A21" s="5">
        <v>19</v>
      </c>
      <c r="B21" s="3"/>
      <c r="C21" s="4"/>
    </row>
    <row r="22" spans="1:3" x14ac:dyDescent="0.2">
      <c r="A22" s="5">
        <v>20</v>
      </c>
      <c r="B22" s="3"/>
      <c r="C22" s="4"/>
    </row>
    <row r="23" spans="1:3" x14ac:dyDescent="0.2">
      <c r="A23" s="5">
        <v>21</v>
      </c>
      <c r="B23" s="3"/>
      <c r="C23" s="4"/>
    </row>
    <row r="24" spans="1:3" x14ac:dyDescent="0.2">
      <c r="A24" s="5">
        <v>22</v>
      </c>
      <c r="B24" s="3"/>
      <c r="C24" s="4"/>
    </row>
    <row r="25" spans="1:3" x14ac:dyDescent="0.2">
      <c r="A25" s="5">
        <v>23</v>
      </c>
      <c r="B25" s="4"/>
      <c r="C25" s="3"/>
    </row>
    <row r="26" spans="1:3" x14ac:dyDescent="0.2">
      <c r="A26" s="5">
        <v>24</v>
      </c>
      <c r="B26" s="4"/>
      <c r="C26" s="3"/>
    </row>
    <row r="27" spans="1:3" x14ac:dyDescent="0.2">
      <c r="A27" s="5">
        <v>25</v>
      </c>
      <c r="B27" s="4"/>
      <c r="C27" s="3"/>
    </row>
    <row r="28" spans="1:3" x14ac:dyDescent="0.2">
      <c r="A28" s="5">
        <v>26</v>
      </c>
      <c r="B28" s="4"/>
      <c r="C28" s="3"/>
    </row>
    <row r="29" spans="1:3" x14ac:dyDescent="0.2">
      <c r="A29" s="5">
        <v>27</v>
      </c>
      <c r="B29" s="4"/>
      <c r="C29" s="3"/>
    </row>
    <row r="30" spans="1:3" x14ac:dyDescent="0.2">
      <c r="A30" s="5">
        <v>28</v>
      </c>
      <c r="B30" s="4"/>
      <c r="C30" s="3"/>
    </row>
    <row r="31" spans="1:3" x14ac:dyDescent="0.2">
      <c r="A31" s="5">
        <v>29</v>
      </c>
      <c r="B31" s="4"/>
      <c r="C31" s="3"/>
    </row>
    <row r="32" spans="1:3" x14ac:dyDescent="0.2">
      <c r="A32" s="5">
        <v>30</v>
      </c>
      <c r="B32" s="4"/>
      <c r="C32" s="3"/>
    </row>
    <row r="33" spans="1:3" x14ac:dyDescent="0.2">
      <c r="A33" s="5">
        <v>31</v>
      </c>
      <c r="B33" s="4"/>
      <c r="C33" s="3"/>
    </row>
    <row r="34" spans="1:3" x14ac:dyDescent="0.2">
      <c r="A34" s="6" t="s">
        <v>379</v>
      </c>
      <c r="B34" s="4">
        <f>SUM(B3:B33)</f>
        <v>0</v>
      </c>
      <c r="C34" s="3">
        <f>SUM(C3:C33)</f>
        <v>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B3" sqref="A3:XFD10"/>
    </sheetView>
  </sheetViews>
  <sheetFormatPr defaultRowHeight="12.75" x14ac:dyDescent="0.2"/>
  <cols>
    <col min="1" max="1" width="16.28515625" customWidth="1"/>
    <col min="2" max="2" width="20.42578125" customWidth="1"/>
    <col min="3" max="3" width="18.42578125" customWidth="1"/>
  </cols>
  <sheetData>
    <row r="1" spans="1:3" x14ac:dyDescent="0.2">
      <c r="A1" s="26" t="s">
        <v>420</v>
      </c>
      <c r="B1" s="26"/>
      <c r="C1" s="26"/>
    </row>
    <row r="2" spans="1:3" x14ac:dyDescent="0.2">
      <c r="A2" s="11" t="s">
        <v>3</v>
      </c>
      <c r="B2" s="8" t="s">
        <v>10</v>
      </c>
      <c r="C2" s="8" t="s">
        <v>215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activeCell="B3" sqref="A3:XFD6"/>
    </sheetView>
  </sheetViews>
  <sheetFormatPr defaultRowHeight="12.75" x14ac:dyDescent="0.2"/>
  <cols>
    <col min="1" max="1" width="31.85546875" customWidth="1"/>
    <col min="2" max="2" width="25.5703125" customWidth="1"/>
    <col min="3" max="3" width="8.85546875" bestFit="1" customWidth="1"/>
  </cols>
  <sheetData>
    <row r="1" spans="1:3" x14ac:dyDescent="0.2">
      <c r="A1" s="29" t="s">
        <v>425</v>
      </c>
      <c r="B1" s="29"/>
    </row>
    <row r="2" spans="1:3" x14ac:dyDescent="0.2">
      <c r="A2" s="3" t="s">
        <v>25</v>
      </c>
      <c r="B2" s="3" t="s">
        <v>10</v>
      </c>
      <c r="C2" s="3" t="s">
        <v>215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>
      <selection activeCell="A3" sqref="A3:XFD6"/>
    </sheetView>
  </sheetViews>
  <sheetFormatPr defaultRowHeight="12.75" x14ac:dyDescent="0.2"/>
  <cols>
    <col min="1" max="1" width="33" customWidth="1"/>
    <col min="2" max="2" width="19.7109375" customWidth="1"/>
  </cols>
  <sheetData>
    <row r="1" spans="1:2" x14ac:dyDescent="0.2">
      <c r="A1" s="26" t="s">
        <v>426</v>
      </c>
      <c r="B1" s="26"/>
    </row>
    <row r="2" spans="1:2" x14ac:dyDescent="0.2">
      <c r="A2" s="3" t="s">
        <v>427</v>
      </c>
      <c r="B2" s="3" t="s">
        <v>215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Plan1</vt:lpstr>
      <vt:lpstr>GRAFICO</vt:lpstr>
      <vt:lpstr>D1</vt:lpstr>
      <vt:lpstr>D2</vt:lpstr>
      <vt:lpstr>D3</vt:lpstr>
      <vt:lpstr>D4</vt:lpstr>
      <vt:lpstr>D5</vt:lpstr>
      <vt:lpstr>D6</vt:lpstr>
      <vt:lpstr>D7</vt:lpstr>
      <vt:lpstr>D8</vt:lpstr>
      <vt:lpstr>D9</vt:lpstr>
      <vt:lpstr>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Bruner Candido Siqueira</dc:creator>
  <cp:lastModifiedBy>Fabio Barreto</cp:lastModifiedBy>
  <cp:lastPrinted>2017-04-20T13:28:00Z</cp:lastPrinted>
  <dcterms:created xsi:type="dcterms:W3CDTF">2017-04-06T12:23:53Z</dcterms:created>
  <dcterms:modified xsi:type="dcterms:W3CDTF">2019-08-01T13:24:44Z</dcterms:modified>
</cp:coreProperties>
</file>